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IA Negro Diego\Petróleos Sudamericanos\Brecha Verde\EDA\Esporádico_Corregido\"/>
    </mc:Choice>
  </mc:AlternateContent>
  <xr:revisionPtr revIDLastSave="0" documentId="8_{3F972AC9-4B83-4F11-91A7-FCAA151533F6}" xr6:coauthVersionLast="47" xr6:coauthVersionMax="47" xr10:uidLastSave="{00000000-0000-0000-0000-000000000000}"/>
  <bookViews>
    <workbookView xWindow="-110" yWindow="-110" windowWidth="19420" windowHeight="11500" xr2:uid="{0F567747-D26B-4AF6-A812-67B732B4C41D}"/>
  </bookViews>
  <sheets>
    <sheet name="Unificada" sheetId="1" r:id="rId1"/>
  </sheets>
  <definedNames>
    <definedName name="_xlnm._FilterDatabase" localSheetId="0" hidden="1">Unificada!$B$1:$L$354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4" i="1" l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<sst xmlns="http://schemas.openxmlformats.org/spreadsheetml/2006/main" count="1071" uniqueCount="113">
  <si>
    <t>Id_Malla</t>
  </si>
  <si>
    <t>inyector</t>
  </si>
  <si>
    <t>productor</t>
  </si>
  <si>
    <t>capa</t>
  </si>
  <si>
    <t>So</t>
  </si>
  <si>
    <t>Vp</t>
  </si>
  <si>
    <t>Np</t>
  </si>
  <si>
    <t>Np_MOV</t>
  </si>
  <si>
    <t>Wi</t>
  </si>
  <si>
    <t>Wi_PV</t>
  </si>
  <si>
    <t>FR</t>
  </si>
  <si>
    <t>OIP</t>
  </si>
  <si>
    <t>B.a-416</t>
  </si>
  <si>
    <t>B-413</t>
  </si>
  <si>
    <t>PORFIRITA</t>
  </si>
  <si>
    <t>B-422</t>
  </si>
  <si>
    <t>B-18</t>
  </si>
  <si>
    <t>B-17</t>
  </si>
  <si>
    <t>TI</t>
  </si>
  <si>
    <t>B-40</t>
  </si>
  <si>
    <t>TS</t>
  </si>
  <si>
    <t>B-337</t>
  </si>
  <si>
    <t>B-338</t>
  </si>
  <si>
    <t>B-462</t>
  </si>
  <si>
    <t>B-0260</t>
  </si>
  <si>
    <t>B-403</t>
  </si>
  <si>
    <t>VIOLETA</t>
  </si>
  <si>
    <t>ROJO</t>
  </si>
  <si>
    <t>AZUL</t>
  </si>
  <si>
    <t>VERDE</t>
  </si>
  <si>
    <t>B-501</t>
  </si>
  <si>
    <t>B-550</t>
  </si>
  <si>
    <t>B-0262</t>
  </si>
  <si>
    <t>B-461</t>
  </si>
  <si>
    <t>B-551</t>
  </si>
  <si>
    <t>B-30</t>
  </si>
  <si>
    <t>B-27</t>
  </si>
  <si>
    <t>GRUPO_ARENAS</t>
  </si>
  <si>
    <t>B-33(I)</t>
  </si>
  <si>
    <t>B-491</t>
  </si>
  <si>
    <t>B-37</t>
  </si>
  <si>
    <t>B-455</t>
  </si>
  <si>
    <t>B-485</t>
  </si>
  <si>
    <t>B-499</t>
  </si>
  <si>
    <t>B-0415</t>
  </si>
  <si>
    <t>B-0432</t>
  </si>
  <si>
    <t>B-248</t>
  </si>
  <si>
    <t>B-459</t>
  </si>
  <si>
    <t>B-460</t>
  </si>
  <si>
    <t>B-52</t>
  </si>
  <si>
    <t>B-251</t>
  </si>
  <si>
    <t>B-454</t>
  </si>
  <si>
    <t>B-63</t>
  </si>
  <si>
    <t>B-327</t>
  </si>
  <si>
    <t>B-13</t>
  </si>
  <si>
    <t>B-325</t>
  </si>
  <si>
    <t>B-482</t>
  </si>
  <si>
    <t>B-497</t>
  </si>
  <si>
    <t>B-331</t>
  </si>
  <si>
    <t>B-26</t>
  </si>
  <si>
    <t>B-294</t>
  </si>
  <si>
    <t>B-329</t>
  </si>
  <si>
    <t>B-334</t>
  </si>
  <si>
    <t>B-19</t>
  </si>
  <si>
    <t>B-333</t>
  </si>
  <si>
    <t>B-407</t>
  </si>
  <si>
    <t>B-484</t>
  </si>
  <si>
    <t>B-340</t>
  </si>
  <si>
    <t>B-0279</t>
  </si>
  <si>
    <t>B-31</t>
  </si>
  <si>
    <t>B-38</t>
  </si>
  <si>
    <t>B-378</t>
  </si>
  <si>
    <t>B-384</t>
  </si>
  <si>
    <t>B-470</t>
  </si>
  <si>
    <t>B-495</t>
  </si>
  <si>
    <t>B-383</t>
  </si>
  <si>
    <t>B-41</t>
  </si>
  <si>
    <t>BBB.x-1</t>
  </si>
  <si>
    <t>B-389</t>
  </si>
  <si>
    <t>B-386</t>
  </si>
  <si>
    <t>B-393</t>
  </si>
  <si>
    <t>B-397</t>
  </si>
  <si>
    <t>B-463</t>
  </si>
  <si>
    <t>B-405</t>
  </si>
  <si>
    <t>B-404</t>
  </si>
  <si>
    <t>B-411</t>
  </si>
  <si>
    <t>B-492</t>
  </si>
  <si>
    <t>B-522</t>
  </si>
  <si>
    <t>B-433</t>
  </si>
  <si>
    <t>B-458</t>
  </si>
  <si>
    <t>B-500</t>
  </si>
  <si>
    <t>B-441</t>
  </si>
  <si>
    <t>B-464</t>
  </si>
  <si>
    <t>B-453</t>
  </si>
  <si>
    <t>B-457</t>
  </si>
  <si>
    <t>B-10</t>
  </si>
  <si>
    <t>B-450</t>
  </si>
  <si>
    <t>B-456</t>
  </si>
  <si>
    <t>B-494</t>
  </si>
  <si>
    <t>B-466</t>
  </si>
  <si>
    <t>B-379</t>
  </si>
  <si>
    <t>B-388</t>
  </si>
  <si>
    <t>B-406</t>
  </si>
  <si>
    <t>B-467</t>
  </si>
  <si>
    <t>B-20</t>
  </si>
  <si>
    <t>B-469</t>
  </si>
  <si>
    <t>B-481</t>
  </si>
  <si>
    <t>B-53</t>
  </si>
  <si>
    <t>B-486</t>
  </si>
  <si>
    <t>B-465</t>
  </si>
  <si>
    <t>B-493</t>
  </si>
  <si>
    <t>B-490</t>
  </si>
  <si>
    <t>B-392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</si>
</sst>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41B0-B3D3-4092-80AE-B2EA60DE6929}">
  <sheetPr codeName="Hoja9"/>
  <dimension ref="A1:L354"/>
  <sheetViews>
    <sheetView tabSelected="1" workbookViewId="0">
      <selection activeCell="F4" sqref="F4"/>
    </sheetView>
  </sheetViews>
  <sheetFormatPr baseColWidth="10" defaultRowHeight="14.5" x14ac:dyDescent="0.35"/>
  <cols>
    <col min="1" max="1" width="21.81640625" bestFit="1" customWidth="1"/>
    <col min="2" max="2" width="7.6328125" bestFit="1" customWidth="1"/>
    <col min="3" max="3" width="9" bestFit="1" customWidth="1"/>
    <col min="4" max="4" width="14.26953125" bestFit="1" customWidth="1"/>
    <col min="5" max="5" width="5.81640625" bestFit="1" customWidth="1"/>
    <col min="6" max="6" width="9.81640625" bestFit="1" customWidth="1"/>
    <col min="7" max="7" width="6.81640625" bestFit="1" customWidth="1"/>
    <col min="8" max="8" width="7.81640625" bestFit="1" customWidth="1"/>
    <col min="9" max="10" width="6.81640625" bestFit="1" customWidth="1"/>
    <col min="11" max="11" width="4.81640625" bestFit="1" customWidth="1"/>
    <col min="12" max="12" width="6.81640625" bestFit="1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tr">
        <f>CONCATENATE(B2,"-",C2,"-",D2)</f>
        <v>B.a-416-B-413-PORFIRITA</v>
      </c>
      <c r="B2" t="s">
        <v>12</v>
      </c>
      <c r="C2" t="s">
        <v>13</v>
      </c>
      <c r="D2" t="s">
        <v>14</v>
      </c>
      <c r="E2">
        <v>0.45900000000000002</v>
      </c>
      <c r="F2">
        <v>51126.3</v>
      </c>
      <c r="G2">
        <v>4199</v>
      </c>
      <c r="H2">
        <v>36.4</v>
      </c>
      <c r="I2">
        <v>65315</v>
      </c>
      <c r="J2">
        <v>127.75</v>
      </c>
      <c r="K2">
        <v>0.17</v>
      </c>
      <c r="L2">
        <v>21179</v>
      </c>
    </row>
    <row r="3" spans="1:12" x14ac:dyDescent="0.35">
      <c r="A3" t="str">
        <f t="shared" ref="A3:A66" si="0">CONCATENATE(B3,"-",C3,"-",D3)</f>
        <v>B.a-416-B-422-PORFIRITA</v>
      </c>
      <c r="B3" t="s">
        <v>12</v>
      </c>
      <c r="C3" t="s">
        <v>15</v>
      </c>
      <c r="D3" t="s">
        <v>14</v>
      </c>
      <c r="E3">
        <v>0.44</v>
      </c>
      <c r="F3">
        <v>158292.4</v>
      </c>
      <c r="G3">
        <v>15673</v>
      </c>
      <c r="H3">
        <v>43.88</v>
      </c>
      <c r="I3">
        <v>239832</v>
      </c>
      <c r="J3">
        <v>151.51</v>
      </c>
      <c r="K3">
        <v>0.2</v>
      </c>
      <c r="L3">
        <v>62902</v>
      </c>
    </row>
    <row r="4" spans="1:12" x14ac:dyDescent="0.35">
      <c r="A4" t="str">
        <f t="shared" si="0"/>
        <v>B-18-B-17-TI</v>
      </c>
      <c r="B4" t="s">
        <v>16</v>
      </c>
      <c r="C4" t="s">
        <v>17</v>
      </c>
      <c r="D4" t="s">
        <v>18</v>
      </c>
      <c r="E4">
        <v>0.42099999999999999</v>
      </c>
      <c r="F4">
        <v>62129.2</v>
      </c>
      <c r="G4">
        <v>8892</v>
      </c>
      <c r="H4">
        <v>56.63</v>
      </c>
      <c r="I4">
        <v>31189</v>
      </c>
      <c r="J4">
        <v>50.2</v>
      </c>
      <c r="K4">
        <v>0.27</v>
      </c>
      <c r="L4">
        <v>23631</v>
      </c>
    </row>
    <row r="5" spans="1:12" x14ac:dyDescent="0.35">
      <c r="A5" t="str">
        <f t="shared" si="0"/>
        <v>B-18-B-40-TS</v>
      </c>
      <c r="B5" t="s">
        <v>16</v>
      </c>
      <c r="C5" t="s">
        <v>19</v>
      </c>
      <c r="D5" t="s">
        <v>20</v>
      </c>
      <c r="E5">
        <v>0.42599999999999999</v>
      </c>
      <c r="F5">
        <v>117170</v>
      </c>
      <c r="G5">
        <v>25838</v>
      </c>
      <c r="H5">
        <v>66.040000000000006</v>
      </c>
      <c r="I5">
        <v>109532</v>
      </c>
      <c r="J5">
        <v>93.48</v>
      </c>
      <c r="K5">
        <v>0.36</v>
      </c>
      <c r="L5">
        <v>45014</v>
      </c>
    </row>
    <row r="6" spans="1:12" x14ac:dyDescent="0.35">
      <c r="A6" t="str">
        <f t="shared" si="0"/>
        <v>B-18-B-337-TI</v>
      </c>
      <c r="B6" t="s">
        <v>16</v>
      </c>
      <c r="C6" t="s">
        <v>21</v>
      </c>
      <c r="D6" t="s">
        <v>18</v>
      </c>
      <c r="E6">
        <v>0.40799999999999997</v>
      </c>
      <c r="F6">
        <v>81678</v>
      </c>
      <c r="G6">
        <v>12693</v>
      </c>
      <c r="H6">
        <v>61.5</v>
      </c>
      <c r="I6">
        <v>49179</v>
      </c>
      <c r="J6">
        <v>60.21</v>
      </c>
      <c r="K6">
        <v>0.3</v>
      </c>
      <c r="L6">
        <v>30062</v>
      </c>
    </row>
    <row r="7" spans="1:12" x14ac:dyDescent="0.35">
      <c r="A7" t="str">
        <f t="shared" si="0"/>
        <v>B-18-B-338-TS</v>
      </c>
      <c r="B7" t="s">
        <v>16</v>
      </c>
      <c r="C7" t="s">
        <v>22</v>
      </c>
      <c r="D7" t="s">
        <v>20</v>
      </c>
      <c r="E7">
        <v>0.44</v>
      </c>
      <c r="F7">
        <v>83617.8</v>
      </c>
      <c r="G7">
        <v>17389</v>
      </c>
      <c r="H7">
        <v>62.27</v>
      </c>
      <c r="I7">
        <v>68423</v>
      </c>
      <c r="J7">
        <v>81.83</v>
      </c>
      <c r="K7">
        <v>0.34</v>
      </c>
      <c r="L7">
        <v>33174</v>
      </c>
    </row>
    <row r="8" spans="1:12" x14ac:dyDescent="0.35">
      <c r="A8" t="str">
        <f t="shared" si="0"/>
        <v>B-18-B-338-TI</v>
      </c>
      <c r="B8" t="s">
        <v>16</v>
      </c>
      <c r="C8" t="s">
        <v>22</v>
      </c>
      <c r="D8" t="s">
        <v>18</v>
      </c>
      <c r="E8">
        <v>0.45500000000000002</v>
      </c>
      <c r="F8">
        <v>37219.699999999997</v>
      </c>
      <c r="G8">
        <v>4191</v>
      </c>
      <c r="H8">
        <v>44.56</v>
      </c>
      <c r="I8">
        <v>11521</v>
      </c>
      <c r="J8">
        <v>30.95</v>
      </c>
      <c r="K8">
        <v>0.22</v>
      </c>
      <c r="L8">
        <v>15292</v>
      </c>
    </row>
    <row r="9" spans="1:12" x14ac:dyDescent="0.35">
      <c r="A9" t="str">
        <f t="shared" si="0"/>
        <v>B-18-B-462-TS</v>
      </c>
      <c r="B9" t="s">
        <v>16</v>
      </c>
      <c r="C9" t="s">
        <v>23</v>
      </c>
      <c r="D9" t="s">
        <v>20</v>
      </c>
      <c r="E9">
        <v>0.40899999999999997</v>
      </c>
      <c r="F9">
        <v>41703.1</v>
      </c>
      <c r="G9">
        <v>9817</v>
      </c>
      <c r="H9">
        <v>70.5</v>
      </c>
      <c r="I9">
        <v>45548</v>
      </c>
      <c r="J9">
        <v>109.22</v>
      </c>
      <c r="K9">
        <v>0.39</v>
      </c>
      <c r="L9">
        <v>15400</v>
      </c>
    </row>
    <row r="10" spans="1:12" x14ac:dyDescent="0.35">
      <c r="A10" t="str">
        <f t="shared" si="0"/>
        <v>B-18-B-462-TI</v>
      </c>
      <c r="B10" t="s">
        <v>16</v>
      </c>
      <c r="C10" t="s">
        <v>23</v>
      </c>
      <c r="D10" t="s">
        <v>18</v>
      </c>
      <c r="E10">
        <v>0.39900000000000002</v>
      </c>
      <c r="F10">
        <v>56447.7</v>
      </c>
      <c r="G10">
        <v>9218</v>
      </c>
      <c r="H10">
        <v>64.62</v>
      </c>
      <c r="I10">
        <v>37998</v>
      </c>
      <c r="J10">
        <v>67.319999999999993</v>
      </c>
      <c r="K10">
        <v>0.31</v>
      </c>
      <c r="L10">
        <v>20330</v>
      </c>
    </row>
    <row r="11" spans="1:12" x14ac:dyDescent="0.35">
      <c r="A11" t="str">
        <f t="shared" si="0"/>
        <v>B-0260-B-403-VIOLETA</v>
      </c>
      <c r="B11" t="s">
        <v>24</v>
      </c>
      <c r="C11" t="s">
        <v>25</v>
      </c>
      <c r="D11" t="s">
        <v>26</v>
      </c>
      <c r="E11">
        <v>0.52700000000000002</v>
      </c>
      <c r="F11">
        <v>5707.7</v>
      </c>
      <c r="G11">
        <v>359</v>
      </c>
      <c r="H11">
        <v>31.88</v>
      </c>
      <c r="I11">
        <v>800</v>
      </c>
      <c r="J11">
        <v>14.02</v>
      </c>
      <c r="K11">
        <v>0.12</v>
      </c>
      <c r="L11">
        <v>2580</v>
      </c>
    </row>
    <row r="12" spans="1:12" x14ac:dyDescent="0.35">
      <c r="A12" t="str">
        <f t="shared" si="0"/>
        <v>B-0260-B-403-ROJO</v>
      </c>
      <c r="B12" t="s">
        <v>24</v>
      </c>
      <c r="C12" t="s">
        <v>25</v>
      </c>
      <c r="D12" t="s">
        <v>27</v>
      </c>
      <c r="E12">
        <v>0.58699999999999997</v>
      </c>
      <c r="F12">
        <v>7156.4</v>
      </c>
      <c r="G12">
        <v>78</v>
      </c>
      <c r="H12">
        <v>3.95</v>
      </c>
      <c r="I12">
        <v>172</v>
      </c>
      <c r="J12">
        <v>2.4</v>
      </c>
      <c r="K12">
        <v>0.02</v>
      </c>
      <c r="L12">
        <v>3608</v>
      </c>
    </row>
    <row r="13" spans="1:12" x14ac:dyDescent="0.35">
      <c r="A13" t="str">
        <f t="shared" si="0"/>
        <v>B-0260-B-403-AZUL</v>
      </c>
      <c r="B13" t="s">
        <v>24</v>
      </c>
      <c r="C13" t="s">
        <v>25</v>
      </c>
      <c r="D13" t="s">
        <v>28</v>
      </c>
      <c r="E13">
        <v>0.51700000000000002</v>
      </c>
      <c r="F13">
        <v>2773</v>
      </c>
      <c r="G13">
        <v>198</v>
      </c>
      <c r="H13">
        <v>36.200000000000003</v>
      </c>
      <c r="I13">
        <v>448</v>
      </c>
      <c r="J13">
        <v>16.16</v>
      </c>
      <c r="K13">
        <v>0.14000000000000001</v>
      </c>
      <c r="L13">
        <v>1230</v>
      </c>
    </row>
    <row r="14" spans="1:12" x14ac:dyDescent="0.35">
      <c r="A14" t="str">
        <f t="shared" si="0"/>
        <v>B-0260-B-403-VERDE</v>
      </c>
      <c r="B14" t="s">
        <v>24</v>
      </c>
      <c r="C14" t="s">
        <v>25</v>
      </c>
      <c r="D14" t="s">
        <v>29</v>
      </c>
      <c r="E14">
        <v>0.57199999999999995</v>
      </c>
      <c r="F14">
        <v>8228.5</v>
      </c>
      <c r="G14">
        <v>198</v>
      </c>
      <c r="H14">
        <v>8.75</v>
      </c>
      <c r="I14">
        <v>438</v>
      </c>
      <c r="J14">
        <v>5.32</v>
      </c>
      <c r="K14">
        <v>0.05</v>
      </c>
      <c r="L14">
        <v>4040</v>
      </c>
    </row>
    <row r="15" spans="1:12" x14ac:dyDescent="0.35">
      <c r="A15" t="str">
        <f t="shared" si="0"/>
        <v>B-0260-B-501-VIOLETA</v>
      </c>
      <c r="B15" t="s">
        <v>24</v>
      </c>
      <c r="C15" t="s">
        <v>30</v>
      </c>
      <c r="D15" t="s">
        <v>26</v>
      </c>
      <c r="E15">
        <v>0.53100000000000003</v>
      </c>
      <c r="F15">
        <v>10210.700000000001</v>
      </c>
      <c r="G15">
        <v>606</v>
      </c>
      <c r="H15">
        <v>30.06</v>
      </c>
      <c r="I15">
        <v>1344</v>
      </c>
      <c r="J15">
        <v>13.16</v>
      </c>
      <c r="K15">
        <v>0.12</v>
      </c>
      <c r="L15">
        <v>4653</v>
      </c>
    </row>
    <row r="16" spans="1:12" x14ac:dyDescent="0.35">
      <c r="A16" t="str">
        <f t="shared" si="0"/>
        <v>B-0260-B-501-ROJO</v>
      </c>
      <c r="B16" t="s">
        <v>24</v>
      </c>
      <c r="C16" t="s">
        <v>30</v>
      </c>
      <c r="D16" t="s">
        <v>27</v>
      </c>
      <c r="E16">
        <v>0.57699999999999996</v>
      </c>
      <c r="F16">
        <v>16159.1</v>
      </c>
      <c r="G16">
        <v>314</v>
      </c>
      <c r="H16">
        <v>7.09</v>
      </c>
      <c r="I16">
        <v>696</v>
      </c>
      <c r="J16">
        <v>4.3099999999999996</v>
      </c>
      <c r="K16">
        <v>0.04</v>
      </c>
      <c r="L16">
        <v>8008</v>
      </c>
    </row>
    <row r="17" spans="1:12" x14ac:dyDescent="0.35">
      <c r="A17" t="str">
        <f t="shared" si="0"/>
        <v>B-0260-B-501-AZUL</v>
      </c>
      <c r="B17" t="s">
        <v>24</v>
      </c>
      <c r="C17" t="s">
        <v>30</v>
      </c>
      <c r="D17" t="s">
        <v>28</v>
      </c>
      <c r="E17">
        <v>0.47199999999999998</v>
      </c>
      <c r="F17">
        <v>5885.4</v>
      </c>
      <c r="G17">
        <v>648</v>
      </c>
      <c r="H17">
        <v>55.74</v>
      </c>
      <c r="I17">
        <v>1853</v>
      </c>
      <c r="J17">
        <v>31.49</v>
      </c>
      <c r="K17">
        <v>0.21</v>
      </c>
      <c r="L17">
        <v>2384</v>
      </c>
    </row>
    <row r="18" spans="1:12" x14ac:dyDescent="0.35">
      <c r="A18" t="str">
        <f t="shared" si="0"/>
        <v>B-0260-B-550-VIOLETA</v>
      </c>
      <c r="B18" t="s">
        <v>24</v>
      </c>
      <c r="C18" t="s">
        <v>31</v>
      </c>
      <c r="D18" t="s">
        <v>26</v>
      </c>
      <c r="E18">
        <v>0.54600000000000004</v>
      </c>
      <c r="F18">
        <v>6397.8</v>
      </c>
      <c r="G18">
        <v>294</v>
      </c>
      <c r="H18">
        <v>23.31</v>
      </c>
      <c r="I18">
        <v>650</v>
      </c>
      <c r="J18">
        <v>10.15</v>
      </c>
      <c r="K18">
        <v>0.09</v>
      </c>
      <c r="L18">
        <v>3001</v>
      </c>
    </row>
    <row r="19" spans="1:12" x14ac:dyDescent="0.35">
      <c r="A19" t="str">
        <f t="shared" si="0"/>
        <v>B-0260-B-550-ROJO</v>
      </c>
      <c r="B19" t="s">
        <v>24</v>
      </c>
      <c r="C19" t="s">
        <v>31</v>
      </c>
      <c r="D19" t="s">
        <v>27</v>
      </c>
      <c r="E19">
        <v>0.34599999999999997</v>
      </c>
      <c r="F19">
        <v>6893.7</v>
      </c>
      <c r="G19">
        <v>1503</v>
      </c>
      <c r="H19">
        <v>79.38</v>
      </c>
      <c r="I19">
        <v>7782</v>
      </c>
      <c r="J19">
        <v>112.89</v>
      </c>
      <c r="K19">
        <v>0.42</v>
      </c>
      <c r="L19">
        <v>2047</v>
      </c>
    </row>
    <row r="20" spans="1:12" x14ac:dyDescent="0.35">
      <c r="A20" t="str">
        <f t="shared" si="0"/>
        <v>B-0260-B-550-AZUL</v>
      </c>
      <c r="B20" t="s">
        <v>24</v>
      </c>
      <c r="C20" t="s">
        <v>31</v>
      </c>
      <c r="D20" t="s">
        <v>28</v>
      </c>
      <c r="E20">
        <v>0.39500000000000002</v>
      </c>
      <c r="F20">
        <v>3380.3</v>
      </c>
      <c r="G20">
        <v>594</v>
      </c>
      <c r="H20">
        <v>89.07</v>
      </c>
      <c r="I20">
        <v>5347</v>
      </c>
      <c r="J20">
        <v>158.19</v>
      </c>
      <c r="K20">
        <v>0.34</v>
      </c>
      <c r="L20">
        <v>1147</v>
      </c>
    </row>
    <row r="21" spans="1:12" x14ac:dyDescent="0.35">
      <c r="A21" t="str">
        <f t="shared" si="0"/>
        <v>B-0260-B-550-VERDE</v>
      </c>
      <c r="B21" t="s">
        <v>24</v>
      </c>
      <c r="C21" t="s">
        <v>31</v>
      </c>
      <c r="D21" t="s">
        <v>29</v>
      </c>
      <c r="E21">
        <v>0.48799999999999999</v>
      </c>
      <c r="F21">
        <v>9479.2000000000007</v>
      </c>
      <c r="G21">
        <v>911</v>
      </c>
      <c r="H21">
        <v>34.979999999999997</v>
      </c>
      <c r="I21">
        <v>2048</v>
      </c>
      <c r="J21">
        <v>21.6</v>
      </c>
      <c r="K21">
        <v>0.19</v>
      </c>
      <c r="L21">
        <v>3971</v>
      </c>
    </row>
    <row r="22" spans="1:12" x14ac:dyDescent="0.35">
      <c r="A22" t="str">
        <f t="shared" si="0"/>
        <v>B-0262-B-461-VIOLETA</v>
      </c>
      <c r="B22" t="s">
        <v>32</v>
      </c>
      <c r="C22" t="s">
        <v>33</v>
      </c>
      <c r="D22" t="s">
        <v>26</v>
      </c>
      <c r="E22">
        <v>0.50700000000000001</v>
      </c>
      <c r="F22">
        <v>5368.4</v>
      </c>
      <c r="G22">
        <v>427</v>
      </c>
      <c r="H22">
        <v>40.31</v>
      </c>
      <c r="I22">
        <v>990</v>
      </c>
      <c r="J22">
        <v>18.440000000000001</v>
      </c>
      <c r="K22">
        <v>0.15</v>
      </c>
      <c r="L22">
        <v>2338</v>
      </c>
    </row>
    <row r="23" spans="1:12" x14ac:dyDescent="0.35">
      <c r="A23" t="str">
        <f t="shared" si="0"/>
        <v>B-0262-B-461-ROJO</v>
      </c>
      <c r="B23" t="s">
        <v>32</v>
      </c>
      <c r="C23" t="s">
        <v>33</v>
      </c>
      <c r="D23" t="s">
        <v>27</v>
      </c>
      <c r="E23">
        <v>0.53300000000000003</v>
      </c>
      <c r="F23">
        <v>6183.5</v>
      </c>
      <c r="G23">
        <v>356</v>
      </c>
      <c r="H23">
        <v>20.99</v>
      </c>
      <c r="I23">
        <v>787</v>
      </c>
      <c r="J23">
        <v>12.72</v>
      </c>
      <c r="K23">
        <v>0.11</v>
      </c>
      <c r="L23">
        <v>2828</v>
      </c>
    </row>
    <row r="24" spans="1:12" x14ac:dyDescent="0.35">
      <c r="A24" t="str">
        <f t="shared" si="0"/>
        <v>B-0262-B-461-VERDE</v>
      </c>
      <c r="B24" t="s">
        <v>32</v>
      </c>
      <c r="C24" t="s">
        <v>33</v>
      </c>
      <c r="D24" t="s">
        <v>29</v>
      </c>
      <c r="E24">
        <v>0.57799999999999996</v>
      </c>
      <c r="F24">
        <v>22641.5</v>
      </c>
      <c r="G24">
        <v>437</v>
      </c>
      <c r="H24">
        <v>7.02</v>
      </c>
      <c r="I24">
        <v>967</v>
      </c>
      <c r="J24">
        <v>4.2699999999999996</v>
      </c>
      <c r="K24">
        <v>0.04</v>
      </c>
      <c r="L24">
        <v>11224</v>
      </c>
    </row>
    <row r="25" spans="1:12" x14ac:dyDescent="0.35">
      <c r="A25" t="str">
        <f t="shared" si="0"/>
        <v>B-0262-B-551-VIOLETA</v>
      </c>
      <c r="B25" t="s">
        <v>32</v>
      </c>
      <c r="C25" t="s">
        <v>34</v>
      </c>
      <c r="D25" t="s">
        <v>26</v>
      </c>
      <c r="E25">
        <v>0.51900000000000002</v>
      </c>
      <c r="F25">
        <v>16536</v>
      </c>
      <c r="G25">
        <v>1156</v>
      </c>
      <c r="H25">
        <v>35.42</v>
      </c>
      <c r="I25">
        <v>2604</v>
      </c>
      <c r="J25">
        <v>15.75</v>
      </c>
      <c r="K25">
        <v>0.14000000000000001</v>
      </c>
      <c r="L25">
        <v>7360</v>
      </c>
    </row>
    <row r="26" spans="1:12" x14ac:dyDescent="0.35">
      <c r="A26" t="str">
        <f t="shared" si="0"/>
        <v>B-30-B-27-VIOLETA</v>
      </c>
      <c r="B26" t="s">
        <v>35</v>
      </c>
      <c r="C26" t="s">
        <v>36</v>
      </c>
      <c r="D26" t="s">
        <v>26</v>
      </c>
      <c r="E26">
        <v>0.53400000000000003</v>
      </c>
      <c r="F26">
        <v>5311.1</v>
      </c>
      <c r="G26">
        <v>299</v>
      </c>
      <c r="H26">
        <v>28.55</v>
      </c>
      <c r="I26">
        <v>662</v>
      </c>
      <c r="J26">
        <v>12.47</v>
      </c>
      <c r="K26">
        <v>0.11</v>
      </c>
      <c r="L26">
        <v>2436</v>
      </c>
    </row>
    <row r="27" spans="1:12" x14ac:dyDescent="0.35">
      <c r="A27" t="str">
        <f t="shared" si="0"/>
        <v>B-30-B-27-ROJO</v>
      </c>
      <c r="B27" t="s">
        <v>35</v>
      </c>
      <c r="C27" t="s">
        <v>36</v>
      </c>
      <c r="D27" t="s">
        <v>27</v>
      </c>
      <c r="E27">
        <v>0.58699999999999997</v>
      </c>
      <c r="F27">
        <v>10671.8</v>
      </c>
      <c r="G27">
        <v>122</v>
      </c>
      <c r="H27">
        <v>4.1500000000000004</v>
      </c>
      <c r="I27">
        <v>270</v>
      </c>
      <c r="J27">
        <v>2.5299999999999998</v>
      </c>
      <c r="K27">
        <v>0.02</v>
      </c>
      <c r="L27">
        <v>5375</v>
      </c>
    </row>
    <row r="28" spans="1:12" x14ac:dyDescent="0.35">
      <c r="A28" t="str">
        <f t="shared" si="0"/>
        <v>B-30-B-27-AZUL</v>
      </c>
      <c r="B28" t="s">
        <v>35</v>
      </c>
      <c r="C28" t="s">
        <v>36</v>
      </c>
      <c r="D28" t="s">
        <v>28</v>
      </c>
      <c r="E28">
        <v>0.51500000000000001</v>
      </c>
      <c r="F28">
        <v>4724.3999999999996</v>
      </c>
      <c r="G28">
        <v>346</v>
      </c>
      <c r="H28">
        <v>37.090000000000003</v>
      </c>
      <c r="I28">
        <v>785</v>
      </c>
      <c r="J28">
        <v>16.62</v>
      </c>
      <c r="K28">
        <v>0.14000000000000001</v>
      </c>
      <c r="L28">
        <v>2087</v>
      </c>
    </row>
    <row r="29" spans="1:12" x14ac:dyDescent="0.35">
      <c r="A29" t="str">
        <f t="shared" si="0"/>
        <v>B-30-B-27-VERDE</v>
      </c>
      <c r="B29" t="s">
        <v>35</v>
      </c>
      <c r="C29" t="s">
        <v>36</v>
      </c>
      <c r="D29" t="s">
        <v>29</v>
      </c>
      <c r="E29">
        <v>0.57099999999999995</v>
      </c>
      <c r="F29">
        <v>16067.5</v>
      </c>
      <c r="G29">
        <v>395</v>
      </c>
      <c r="H29">
        <v>8.9499999999999993</v>
      </c>
      <c r="I29">
        <v>874</v>
      </c>
      <c r="J29">
        <v>5.44</v>
      </c>
      <c r="K29">
        <v>0.05</v>
      </c>
      <c r="L29">
        <v>7880</v>
      </c>
    </row>
    <row r="30" spans="1:12" x14ac:dyDescent="0.35">
      <c r="A30" t="str">
        <f t="shared" si="0"/>
        <v>B-30-B-27-TI</v>
      </c>
      <c r="B30" t="s">
        <v>35</v>
      </c>
      <c r="C30" t="s">
        <v>36</v>
      </c>
      <c r="D30" t="s">
        <v>18</v>
      </c>
      <c r="E30">
        <v>0.37</v>
      </c>
      <c r="F30">
        <v>67660.600000000006</v>
      </c>
      <c r="G30">
        <v>12806</v>
      </c>
      <c r="H30">
        <v>74.89</v>
      </c>
      <c r="I30">
        <v>65426</v>
      </c>
      <c r="J30">
        <v>96.7</v>
      </c>
      <c r="K30">
        <v>0.36</v>
      </c>
      <c r="L30">
        <v>22612</v>
      </c>
    </row>
    <row r="31" spans="1:12" x14ac:dyDescent="0.35">
      <c r="A31" t="str">
        <f t="shared" si="0"/>
        <v>B-30-B-27-GRUPO_ARENAS</v>
      </c>
      <c r="B31" t="s">
        <v>35</v>
      </c>
      <c r="C31" t="s">
        <v>36</v>
      </c>
      <c r="D31" t="s">
        <v>37</v>
      </c>
      <c r="E31">
        <v>0.43</v>
      </c>
      <c r="F31">
        <v>125720.4</v>
      </c>
      <c r="G31">
        <v>15869</v>
      </c>
      <c r="H31">
        <v>51.8</v>
      </c>
      <c r="I31">
        <v>50126</v>
      </c>
      <c r="J31">
        <v>39.869999999999997</v>
      </c>
      <c r="K31">
        <v>0.25</v>
      </c>
      <c r="L31">
        <v>48807</v>
      </c>
    </row>
    <row r="32" spans="1:12" x14ac:dyDescent="0.35">
      <c r="A32" t="str">
        <f t="shared" si="0"/>
        <v>B-30-B-33(I)-VIOLETA</v>
      </c>
      <c r="B32" t="s">
        <v>35</v>
      </c>
      <c r="C32" t="s">
        <v>38</v>
      </c>
      <c r="D32" t="s">
        <v>26</v>
      </c>
      <c r="E32">
        <v>0.53400000000000003</v>
      </c>
      <c r="F32">
        <v>4800.8</v>
      </c>
      <c r="G32">
        <v>272</v>
      </c>
      <c r="H32">
        <v>28.68</v>
      </c>
      <c r="I32">
        <v>602</v>
      </c>
      <c r="J32">
        <v>12.53</v>
      </c>
      <c r="K32">
        <v>0.11</v>
      </c>
      <c r="L32">
        <v>2201</v>
      </c>
    </row>
    <row r="33" spans="1:12" x14ac:dyDescent="0.35">
      <c r="A33" t="str">
        <f t="shared" si="0"/>
        <v>B-30-B-33(I)-ROJO</v>
      </c>
      <c r="B33" t="s">
        <v>35</v>
      </c>
      <c r="C33" t="s">
        <v>38</v>
      </c>
      <c r="D33" t="s">
        <v>27</v>
      </c>
      <c r="E33">
        <v>0.58699999999999997</v>
      </c>
      <c r="F33">
        <v>8082.6</v>
      </c>
      <c r="G33">
        <v>88</v>
      </c>
      <c r="H33">
        <v>3.95</v>
      </c>
      <c r="I33">
        <v>194</v>
      </c>
      <c r="J33">
        <v>2.4</v>
      </c>
      <c r="K33">
        <v>0.02</v>
      </c>
      <c r="L33">
        <v>4075</v>
      </c>
    </row>
    <row r="34" spans="1:12" x14ac:dyDescent="0.35">
      <c r="A34" t="str">
        <f t="shared" si="0"/>
        <v>B-30-B-33(I)-AZUL</v>
      </c>
      <c r="B34" t="s">
        <v>35</v>
      </c>
      <c r="C34" t="s">
        <v>38</v>
      </c>
      <c r="D34" t="s">
        <v>28</v>
      </c>
      <c r="E34">
        <v>0.51600000000000001</v>
      </c>
      <c r="F34">
        <v>3442.6</v>
      </c>
      <c r="G34">
        <v>247</v>
      </c>
      <c r="H34">
        <v>36.409999999999997</v>
      </c>
      <c r="I34">
        <v>560</v>
      </c>
      <c r="J34">
        <v>16.260000000000002</v>
      </c>
      <c r="K34">
        <v>0.14000000000000001</v>
      </c>
      <c r="L34">
        <v>1526</v>
      </c>
    </row>
    <row r="35" spans="1:12" x14ac:dyDescent="0.35">
      <c r="A35" t="str">
        <f t="shared" si="0"/>
        <v>B-30-B-33(I)-VERDE</v>
      </c>
      <c r="B35" t="s">
        <v>35</v>
      </c>
      <c r="C35" t="s">
        <v>38</v>
      </c>
      <c r="D35" t="s">
        <v>29</v>
      </c>
      <c r="E35">
        <v>0.57099999999999995</v>
      </c>
      <c r="F35">
        <v>9352.1</v>
      </c>
      <c r="G35">
        <v>229</v>
      </c>
      <c r="H35">
        <v>8.93</v>
      </c>
      <c r="I35">
        <v>508</v>
      </c>
      <c r="J35">
        <v>5.43</v>
      </c>
      <c r="K35">
        <v>0.05</v>
      </c>
      <c r="L35">
        <v>4587</v>
      </c>
    </row>
    <row r="36" spans="1:12" x14ac:dyDescent="0.35">
      <c r="A36" t="str">
        <f t="shared" si="0"/>
        <v>B-30-B-33(I)-TS</v>
      </c>
      <c r="B36" t="s">
        <v>35</v>
      </c>
      <c r="C36" t="s">
        <v>38</v>
      </c>
      <c r="D36" t="s">
        <v>20</v>
      </c>
      <c r="E36">
        <v>0.51200000000000001</v>
      </c>
      <c r="F36">
        <v>126472</v>
      </c>
      <c r="G36">
        <v>18034</v>
      </c>
      <c r="H36">
        <v>42.7</v>
      </c>
      <c r="I36">
        <v>48090</v>
      </c>
      <c r="J36">
        <v>38.020000000000003</v>
      </c>
      <c r="K36">
        <v>0.24</v>
      </c>
      <c r="L36">
        <v>58442</v>
      </c>
    </row>
    <row r="37" spans="1:12" x14ac:dyDescent="0.35">
      <c r="A37" t="str">
        <f t="shared" si="0"/>
        <v>B-30-B-33(I)-TI</v>
      </c>
      <c r="B37" t="s">
        <v>35</v>
      </c>
      <c r="C37" t="s">
        <v>38</v>
      </c>
      <c r="D37" t="s">
        <v>18</v>
      </c>
      <c r="E37">
        <v>0.38800000000000001</v>
      </c>
      <c r="F37">
        <v>37795.5</v>
      </c>
      <c r="G37">
        <v>6547</v>
      </c>
      <c r="H37">
        <v>68.540000000000006</v>
      </c>
      <c r="I37">
        <v>29181</v>
      </c>
      <c r="J37">
        <v>77.209999999999994</v>
      </c>
      <c r="K37">
        <v>0.33</v>
      </c>
      <c r="L37">
        <v>13238</v>
      </c>
    </row>
    <row r="38" spans="1:12" x14ac:dyDescent="0.35">
      <c r="A38" t="str">
        <f t="shared" si="0"/>
        <v>B-30-B-33(I)-GRUPO_ARENAS</v>
      </c>
      <c r="B38" t="s">
        <v>35</v>
      </c>
      <c r="C38" t="s">
        <v>38</v>
      </c>
      <c r="D38" t="s">
        <v>37</v>
      </c>
      <c r="E38">
        <v>0.46200000000000002</v>
      </c>
      <c r="F38">
        <v>59537.599999999999</v>
      </c>
      <c r="G38">
        <v>5824</v>
      </c>
      <c r="H38">
        <v>40.15</v>
      </c>
      <c r="I38">
        <v>14946</v>
      </c>
      <c r="J38">
        <v>25.1</v>
      </c>
      <c r="K38">
        <v>0.19</v>
      </c>
      <c r="L38">
        <v>24804</v>
      </c>
    </row>
    <row r="39" spans="1:12" x14ac:dyDescent="0.35">
      <c r="A39" t="str">
        <f t="shared" si="0"/>
        <v>B-30-B-403-VIOLETA</v>
      </c>
      <c r="B39" t="s">
        <v>35</v>
      </c>
      <c r="C39" t="s">
        <v>25</v>
      </c>
      <c r="D39" t="s">
        <v>26</v>
      </c>
      <c r="E39">
        <v>0.51700000000000002</v>
      </c>
      <c r="F39">
        <v>6685.1</v>
      </c>
      <c r="G39">
        <v>477</v>
      </c>
      <c r="H39">
        <v>36.11</v>
      </c>
      <c r="I39">
        <v>1077</v>
      </c>
      <c r="J39">
        <v>16.11</v>
      </c>
      <c r="K39">
        <v>0.14000000000000001</v>
      </c>
      <c r="L39">
        <v>2966</v>
      </c>
    </row>
    <row r="40" spans="1:12" x14ac:dyDescent="0.35">
      <c r="A40" t="str">
        <f t="shared" si="0"/>
        <v>B-30-B-403-ROJO</v>
      </c>
      <c r="B40" t="s">
        <v>35</v>
      </c>
      <c r="C40" t="s">
        <v>25</v>
      </c>
      <c r="D40" t="s">
        <v>27</v>
      </c>
      <c r="E40">
        <v>0.58699999999999997</v>
      </c>
      <c r="F40">
        <v>11107.3</v>
      </c>
      <c r="G40">
        <v>121</v>
      </c>
      <c r="H40">
        <v>3.95</v>
      </c>
      <c r="I40">
        <v>267</v>
      </c>
      <c r="J40">
        <v>2.4</v>
      </c>
      <c r="K40">
        <v>0.02</v>
      </c>
      <c r="L40">
        <v>5600</v>
      </c>
    </row>
    <row r="41" spans="1:12" x14ac:dyDescent="0.35">
      <c r="A41" t="str">
        <f t="shared" si="0"/>
        <v>B-30-B-403-AZUL</v>
      </c>
      <c r="B41" t="s">
        <v>35</v>
      </c>
      <c r="C41" t="s">
        <v>25</v>
      </c>
      <c r="D41" t="s">
        <v>28</v>
      </c>
      <c r="E41">
        <v>0.51600000000000001</v>
      </c>
      <c r="F41">
        <v>3838.4</v>
      </c>
      <c r="G41">
        <v>276</v>
      </c>
      <c r="H41">
        <v>36.409999999999997</v>
      </c>
      <c r="I41">
        <v>624</v>
      </c>
      <c r="J41">
        <v>16.260000000000002</v>
      </c>
      <c r="K41">
        <v>0.14000000000000001</v>
      </c>
      <c r="L41">
        <v>1701</v>
      </c>
    </row>
    <row r="42" spans="1:12" x14ac:dyDescent="0.35">
      <c r="A42" t="str">
        <f t="shared" si="0"/>
        <v>B-30-B-403-VERDE</v>
      </c>
      <c r="B42" t="s">
        <v>35</v>
      </c>
      <c r="C42" t="s">
        <v>25</v>
      </c>
      <c r="D42" t="s">
        <v>29</v>
      </c>
      <c r="E42">
        <v>0.57099999999999995</v>
      </c>
      <c r="F42">
        <v>10358.5</v>
      </c>
      <c r="G42">
        <v>255</v>
      </c>
      <c r="H42">
        <v>8.9499999999999993</v>
      </c>
      <c r="I42">
        <v>564</v>
      </c>
      <c r="J42">
        <v>5.45</v>
      </c>
      <c r="K42">
        <v>0.05</v>
      </c>
      <c r="L42">
        <v>5080</v>
      </c>
    </row>
    <row r="43" spans="1:12" x14ac:dyDescent="0.35">
      <c r="A43" t="str">
        <f t="shared" si="0"/>
        <v>B-30-B-403-TS</v>
      </c>
      <c r="B43" t="s">
        <v>35</v>
      </c>
      <c r="C43" t="s">
        <v>25</v>
      </c>
      <c r="D43" t="s">
        <v>20</v>
      </c>
      <c r="E43">
        <v>0.52400000000000002</v>
      </c>
      <c r="F43">
        <v>67360.2</v>
      </c>
      <c r="G43">
        <v>8895</v>
      </c>
      <c r="H43">
        <v>39.54</v>
      </c>
      <c r="I43">
        <v>22632</v>
      </c>
      <c r="J43">
        <v>33.6</v>
      </c>
      <c r="K43">
        <v>0.22</v>
      </c>
      <c r="L43">
        <v>31838</v>
      </c>
    </row>
    <row r="44" spans="1:12" x14ac:dyDescent="0.35">
      <c r="A44" t="str">
        <f t="shared" si="0"/>
        <v>B-30-B-403-TI</v>
      </c>
      <c r="B44" t="s">
        <v>35</v>
      </c>
      <c r="C44" t="s">
        <v>25</v>
      </c>
      <c r="D44" t="s">
        <v>18</v>
      </c>
      <c r="E44">
        <v>0.39200000000000002</v>
      </c>
      <c r="F44">
        <v>34498</v>
      </c>
      <c r="G44">
        <v>5853</v>
      </c>
      <c r="H44">
        <v>67.13</v>
      </c>
      <c r="I44">
        <v>25358</v>
      </c>
      <c r="J44">
        <v>73.510000000000005</v>
      </c>
      <c r="K44">
        <v>0.32</v>
      </c>
      <c r="L44">
        <v>12206</v>
      </c>
    </row>
    <row r="45" spans="1:12" x14ac:dyDescent="0.35">
      <c r="A45" t="str">
        <f t="shared" si="0"/>
        <v>B-30-B-403-GRUPO_ARENAS</v>
      </c>
      <c r="B45" t="s">
        <v>35</v>
      </c>
      <c r="C45" t="s">
        <v>25</v>
      </c>
      <c r="D45" t="s">
        <v>37</v>
      </c>
      <c r="E45">
        <v>0.44500000000000001</v>
      </c>
      <c r="F45">
        <v>37993.5</v>
      </c>
      <c r="G45">
        <v>4289</v>
      </c>
      <c r="H45">
        <v>46.33</v>
      </c>
      <c r="I45">
        <v>12157</v>
      </c>
      <c r="J45">
        <v>32</v>
      </c>
      <c r="K45">
        <v>0.22</v>
      </c>
      <c r="L45">
        <v>15256</v>
      </c>
    </row>
    <row r="46" spans="1:12" x14ac:dyDescent="0.35">
      <c r="A46" t="str">
        <f t="shared" si="0"/>
        <v>B-30-B-491-GRUPO_ARENAS</v>
      </c>
      <c r="B46" t="s">
        <v>35</v>
      </c>
      <c r="C46" t="s">
        <v>39</v>
      </c>
      <c r="D46" t="s">
        <v>37</v>
      </c>
      <c r="E46">
        <v>0.47199999999999998</v>
      </c>
      <c r="F46">
        <v>201632.5</v>
      </c>
      <c r="G46">
        <v>17859</v>
      </c>
      <c r="H46">
        <v>36.35</v>
      </c>
      <c r="I46">
        <v>43566</v>
      </c>
      <c r="J46">
        <v>21.61</v>
      </c>
      <c r="K46">
        <v>0.17</v>
      </c>
      <c r="L46">
        <v>85869</v>
      </c>
    </row>
    <row r="47" spans="1:12" x14ac:dyDescent="0.35">
      <c r="A47" t="str">
        <f t="shared" si="0"/>
        <v>B-30-B-501-VIOLETA</v>
      </c>
      <c r="B47" t="s">
        <v>35</v>
      </c>
      <c r="C47" t="s">
        <v>30</v>
      </c>
      <c r="D47" t="s">
        <v>26</v>
      </c>
      <c r="E47">
        <v>0.52200000000000002</v>
      </c>
      <c r="F47">
        <v>5350.2</v>
      </c>
      <c r="G47">
        <v>358</v>
      </c>
      <c r="H47">
        <v>33.86</v>
      </c>
      <c r="I47">
        <v>801</v>
      </c>
      <c r="J47">
        <v>14.97</v>
      </c>
      <c r="K47">
        <v>0.13</v>
      </c>
      <c r="L47">
        <v>2398</v>
      </c>
    </row>
    <row r="48" spans="1:12" x14ac:dyDescent="0.35">
      <c r="A48" t="str">
        <f t="shared" si="0"/>
        <v>B-30-B-501-ROJO</v>
      </c>
      <c r="B48" t="s">
        <v>35</v>
      </c>
      <c r="C48" t="s">
        <v>30</v>
      </c>
      <c r="D48" t="s">
        <v>27</v>
      </c>
      <c r="E48">
        <v>0.58399999999999996</v>
      </c>
      <c r="F48">
        <v>11430.4</v>
      </c>
      <c r="G48">
        <v>159</v>
      </c>
      <c r="H48">
        <v>5.08</v>
      </c>
      <c r="I48">
        <v>353</v>
      </c>
      <c r="J48">
        <v>3.09</v>
      </c>
      <c r="K48">
        <v>0.03</v>
      </c>
      <c r="L48">
        <v>5727</v>
      </c>
    </row>
    <row r="49" spans="1:12" x14ac:dyDescent="0.35">
      <c r="A49" t="str">
        <f t="shared" si="0"/>
        <v>B-30-B-501-AZUL</v>
      </c>
      <c r="B49" t="s">
        <v>35</v>
      </c>
      <c r="C49" t="s">
        <v>30</v>
      </c>
      <c r="D49" t="s">
        <v>28</v>
      </c>
      <c r="E49">
        <v>0.51600000000000001</v>
      </c>
      <c r="F49">
        <v>3727.5</v>
      </c>
      <c r="G49">
        <v>268</v>
      </c>
      <c r="H49">
        <v>36.409999999999997</v>
      </c>
      <c r="I49">
        <v>606</v>
      </c>
      <c r="J49">
        <v>16.260000000000002</v>
      </c>
      <c r="K49">
        <v>0.14000000000000001</v>
      </c>
      <c r="L49">
        <v>1652</v>
      </c>
    </row>
    <row r="50" spans="1:12" x14ac:dyDescent="0.35">
      <c r="A50" t="str">
        <f t="shared" si="0"/>
        <v>B-30-B-501-VERDE</v>
      </c>
      <c r="B50" t="s">
        <v>35</v>
      </c>
      <c r="C50" t="s">
        <v>30</v>
      </c>
      <c r="D50" t="s">
        <v>29</v>
      </c>
      <c r="E50">
        <v>0.56399999999999995</v>
      </c>
      <c r="F50">
        <v>6816.1</v>
      </c>
      <c r="G50">
        <v>211</v>
      </c>
      <c r="H50">
        <v>11.25</v>
      </c>
      <c r="I50">
        <v>466</v>
      </c>
      <c r="J50">
        <v>6.84</v>
      </c>
      <c r="K50">
        <v>0.06</v>
      </c>
      <c r="L50">
        <v>3300</v>
      </c>
    </row>
    <row r="51" spans="1:12" x14ac:dyDescent="0.35">
      <c r="A51" t="str">
        <f t="shared" si="0"/>
        <v>B-30-B-501-TS</v>
      </c>
      <c r="B51" t="s">
        <v>35</v>
      </c>
      <c r="C51" t="s">
        <v>30</v>
      </c>
      <c r="D51" t="s">
        <v>20</v>
      </c>
      <c r="E51">
        <v>0.49099999999999999</v>
      </c>
      <c r="F51">
        <v>43984.9</v>
      </c>
      <c r="G51">
        <v>7100</v>
      </c>
      <c r="H51">
        <v>48.34</v>
      </c>
      <c r="I51">
        <v>20900</v>
      </c>
      <c r="J51">
        <v>47.52</v>
      </c>
      <c r="K51">
        <v>0.27</v>
      </c>
      <c r="L51">
        <v>19497</v>
      </c>
    </row>
    <row r="52" spans="1:12" x14ac:dyDescent="0.35">
      <c r="A52" t="str">
        <f t="shared" si="0"/>
        <v>B-30-B-501-TI</v>
      </c>
      <c r="B52" t="s">
        <v>35</v>
      </c>
      <c r="C52" t="s">
        <v>30</v>
      </c>
      <c r="D52" t="s">
        <v>18</v>
      </c>
      <c r="E52">
        <v>0.39600000000000002</v>
      </c>
      <c r="F52">
        <v>34147.4</v>
      </c>
      <c r="G52">
        <v>5667</v>
      </c>
      <c r="H52">
        <v>65.67</v>
      </c>
      <c r="I52">
        <v>23850</v>
      </c>
      <c r="J52">
        <v>69.84</v>
      </c>
      <c r="K52">
        <v>0.32</v>
      </c>
      <c r="L52">
        <v>12208</v>
      </c>
    </row>
    <row r="53" spans="1:12" x14ac:dyDescent="0.35">
      <c r="A53" t="str">
        <f t="shared" si="0"/>
        <v>B-30-B-501-GRUPO_ARENAS</v>
      </c>
      <c r="B53" t="s">
        <v>35</v>
      </c>
      <c r="C53" t="s">
        <v>30</v>
      </c>
      <c r="D53" t="s">
        <v>37</v>
      </c>
      <c r="E53">
        <v>0.42199999999999999</v>
      </c>
      <c r="F53">
        <v>38919.300000000003</v>
      </c>
      <c r="G53">
        <v>5202</v>
      </c>
      <c r="H53">
        <v>54.85</v>
      </c>
      <c r="I53">
        <v>17557</v>
      </c>
      <c r="J53">
        <v>45.11</v>
      </c>
      <c r="K53">
        <v>0.26</v>
      </c>
      <c r="L53">
        <v>14820</v>
      </c>
    </row>
    <row r="54" spans="1:12" x14ac:dyDescent="0.35">
      <c r="A54" t="str">
        <f t="shared" si="0"/>
        <v>B-30-B-550-TI</v>
      </c>
      <c r="B54" t="s">
        <v>35</v>
      </c>
      <c r="C54" t="s">
        <v>31</v>
      </c>
      <c r="D54" t="s">
        <v>18</v>
      </c>
      <c r="E54">
        <v>0.39400000000000002</v>
      </c>
      <c r="F54">
        <v>41489.4</v>
      </c>
      <c r="G54">
        <v>6975</v>
      </c>
      <c r="H54">
        <v>66.53</v>
      </c>
      <c r="I54">
        <v>29860</v>
      </c>
      <c r="J54">
        <v>71.97</v>
      </c>
      <c r="K54">
        <v>0.32</v>
      </c>
      <c r="L54">
        <v>14743</v>
      </c>
    </row>
    <row r="55" spans="1:12" x14ac:dyDescent="0.35">
      <c r="A55" t="str">
        <f t="shared" si="0"/>
        <v>B-30-B-550-GRUPO_ARENAS</v>
      </c>
      <c r="B55" t="s">
        <v>35</v>
      </c>
      <c r="C55" t="s">
        <v>31</v>
      </c>
      <c r="D55" t="s">
        <v>37</v>
      </c>
      <c r="E55">
        <v>0.42599999999999999</v>
      </c>
      <c r="F55">
        <v>51883.5</v>
      </c>
      <c r="G55">
        <v>6737</v>
      </c>
      <c r="H55">
        <v>53.29</v>
      </c>
      <c r="I55">
        <v>21976</v>
      </c>
      <c r="J55">
        <v>42.36</v>
      </c>
      <c r="K55">
        <v>0.25</v>
      </c>
      <c r="L55">
        <v>19954</v>
      </c>
    </row>
    <row r="56" spans="1:12" x14ac:dyDescent="0.35">
      <c r="A56" t="str">
        <f t="shared" si="0"/>
        <v>B-37-B-27-TI</v>
      </c>
      <c r="B56" t="s">
        <v>40</v>
      </c>
      <c r="C56" t="s">
        <v>36</v>
      </c>
      <c r="D56" t="s">
        <v>18</v>
      </c>
      <c r="E56">
        <v>0.34200000000000003</v>
      </c>
      <c r="F56">
        <v>140660</v>
      </c>
      <c r="G56">
        <v>30276</v>
      </c>
      <c r="H56">
        <v>85.18</v>
      </c>
      <c r="I56">
        <v>219871</v>
      </c>
      <c r="J56">
        <v>156.31</v>
      </c>
      <c r="K56">
        <v>0.41</v>
      </c>
      <c r="L56">
        <v>43354</v>
      </c>
    </row>
    <row r="57" spans="1:12" x14ac:dyDescent="0.35">
      <c r="A57" t="str">
        <f t="shared" si="0"/>
        <v>B-37-B-33(I)-TS</v>
      </c>
      <c r="B57" t="s">
        <v>40</v>
      </c>
      <c r="C57" t="s">
        <v>38</v>
      </c>
      <c r="D57" t="s">
        <v>20</v>
      </c>
      <c r="E57">
        <v>0.42099999999999999</v>
      </c>
      <c r="F57">
        <v>227902.2</v>
      </c>
      <c r="G57">
        <v>51136</v>
      </c>
      <c r="H57">
        <v>67.19</v>
      </c>
      <c r="I57">
        <v>221827</v>
      </c>
      <c r="J57">
        <v>97.33</v>
      </c>
      <c r="K57">
        <v>0.37</v>
      </c>
      <c r="L57">
        <v>86675</v>
      </c>
    </row>
    <row r="58" spans="1:12" x14ac:dyDescent="0.35">
      <c r="A58" t="str">
        <f t="shared" si="0"/>
        <v>B-37-B-33(I)-TI</v>
      </c>
      <c r="B58" t="s">
        <v>40</v>
      </c>
      <c r="C58" t="s">
        <v>38</v>
      </c>
      <c r="D58" t="s">
        <v>18</v>
      </c>
      <c r="E58">
        <v>0.376</v>
      </c>
      <c r="F58">
        <v>20420.2</v>
      </c>
      <c r="G58">
        <v>3768</v>
      </c>
      <c r="H58">
        <v>73.02</v>
      </c>
      <c r="I58">
        <v>18453</v>
      </c>
      <c r="J58">
        <v>90.37</v>
      </c>
      <c r="K58">
        <v>0.35</v>
      </c>
      <c r="L58">
        <v>6921</v>
      </c>
    </row>
    <row r="59" spans="1:12" x14ac:dyDescent="0.35">
      <c r="A59" t="str">
        <f t="shared" si="0"/>
        <v>B-37-B-403-TS</v>
      </c>
      <c r="B59" t="s">
        <v>40</v>
      </c>
      <c r="C59" t="s">
        <v>25</v>
      </c>
      <c r="D59" t="s">
        <v>20</v>
      </c>
      <c r="E59">
        <v>0.34899999999999998</v>
      </c>
      <c r="F59">
        <v>96382.7</v>
      </c>
      <c r="G59">
        <v>27962</v>
      </c>
      <c r="H59">
        <v>86.88</v>
      </c>
      <c r="I59">
        <v>232553</v>
      </c>
      <c r="J59">
        <v>241.28</v>
      </c>
      <c r="K59">
        <v>0.48</v>
      </c>
      <c r="L59">
        <v>30320</v>
      </c>
    </row>
    <row r="60" spans="1:12" x14ac:dyDescent="0.35">
      <c r="A60" t="str">
        <f t="shared" si="0"/>
        <v>B-37-B-403-TI</v>
      </c>
      <c r="B60" t="s">
        <v>40</v>
      </c>
      <c r="C60" t="s">
        <v>25</v>
      </c>
      <c r="D60" t="s">
        <v>18</v>
      </c>
      <c r="E60">
        <v>0.38400000000000001</v>
      </c>
      <c r="F60">
        <v>55961.2</v>
      </c>
      <c r="G60">
        <v>9901</v>
      </c>
      <c r="H60">
        <v>70.010000000000005</v>
      </c>
      <c r="I60">
        <v>45475</v>
      </c>
      <c r="J60">
        <v>81.260000000000005</v>
      </c>
      <c r="K60">
        <v>0.34</v>
      </c>
      <c r="L60">
        <v>19393</v>
      </c>
    </row>
    <row r="61" spans="1:12" x14ac:dyDescent="0.35">
      <c r="A61" t="str">
        <f t="shared" si="0"/>
        <v>B-37-B-455-TS</v>
      </c>
      <c r="B61" t="s">
        <v>40</v>
      </c>
      <c r="C61" t="s">
        <v>41</v>
      </c>
      <c r="D61" t="s">
        <v>20</v>
      </c>
      <c r="E61">
        <v>0.33700000000000002</v>
      </c>
      <c r="F61">
        <v>56808.4</v>
      </c>
      <c r="G61">
        <v>17073</v>
      </c>
      <c r="H61">
        <v>90</v>
      </c>
      <c r="I61">
        <v>291108</v>
      </c>
      <c r="J61">
        <v>512.44000000000005</v>
      </c>
      <c r="K61">
        <v>0.5</v>
      </c>
      <c r="L61">
        <v>17278</v>
      </c>
    </row>
    <row r="62" spans="1:12" x14ac:dyDescent="0.35">
      <c r="A62" t="str">
        <f t="shared" si="0"/>
        <v>B-37-B-455-TI</v>
      </c>
      <c r="B62" t="s">
        <v>40</v>
      </c>
      <c r="C62" t="s">
        <v>41</v>
      </c>
      <c r="D62" t="s">
        <v>18</v>
      </c>
      <c r="E62">
        <v>0.51100000000000001</v>
      </c>
      <c r="F62">
        <v>131759.79999999999</v>
      </c>
      <c r="G62">
        <v>8220</v>
      </c>
      <c r="H62">
        <v>24.69</v>
      </c>
      <c r="I62">
        <v>17829</v>
      </c>
      <c r="J62">
        <v>13.53</v>
      </c>
      <c r="K62">
        <v>0.12</v>
      </c>
      <c r="L62">
        <v>60752</v>
      </c>
    </row>
    <row r="63" spans="1:12" x14ac:dyDescent="0.35">
      <c r="A63" t="str">
        <f t="shared" si="0"/>
        <v>B-37-B-485-TS</v>
      </c>
      <c r="B63" t="s">
        <v>40</v>
      </c>
      <c r="C63" t="s">
        <v>42</v>
      </c>
      <c r="D63" t="s">
        <v>20</v>
      </c>
      <c r="E63">
        <v>0.438</v>
      </c>
      <c r="F63">
        <v>123288.6</v>
      </c>
      <c r="G63">
        <v>25856</v>
      </c>
      <c r="H63">
        <v>62.8</v>
      </c>
      <c r="I63">
        <v>102808</v>
      </c>
      <c r="J63">
        <v>83.39</v>
      </c>
      <c r="K63">
        <v>0.35</v>
      </c>
      <c r="L63">
        <v>48696</v>
      </c>
    </row>
    <row r="64" spans="1:12" x14ac:dyDescent="0.35">
      <c r="A64" t="str">
        <f t="shared" si="0"/>
        <v>B-37-B-499-TS</v>
      </c>
      <c r="B64" t="s">
        <v>40</v>
      </c>
      <c r="C64" t="s">
        <v>43</v>
      </c>
      <c r="D64" t="s">
        <v>20</v>
      </c>
      <c r="E64">
        <v>0.375</v>
      </c>
      <c r="F64">
        <v>153751.6</v>
      </c>
      <c r="G64">
        <v>40894</v>
      </c>
      <c r="H64">
        <v>79.650000000000006</v>
      </c>
      <c r="I64">
        <v>236650</v>
      </c>
      <c r="J64">
        <v>153.91999999999999</v>
      </c>
      <c r="K64">
        <v>0.44</v>
      </c>
      <c r="L64">
        <v>52078</v>
      </c>
    </row>
    <row r="65" spans="1:12" x14ac:dyDescent="0.35">
      <c r="A65" t="str">
        <f t="shared" si="0"/>
        <v>B-37-B-501-TS</v>
      </c>
      <c r="B65" t="s">
        <v>40</v>
      </c>
      <c r="C65" t="s">
        <v>30</v>
      </c>
      <c r="D65" t="s">
        <v>20</v>
      </c>
      <c r="E65">
        <v>0.45500000000000002</v>
      </c>
      <c r="F65">
        <v>107824.9</v>
      </c>
      <c r="G65">
        <v>20886</v>
      </c>
      <c r="H65">
        <v>58.01</v>
      </c>
      <c r="I65">
        <v>75393</v>
      </c>
      <c r="J65">
        <v>69.92</v>
      </c>
      <c r="K65">
        <v>0.32</v>
      </c>
      <c r="L65">
        <v>44315</v>
      </c>
    </row>
    <row r="66" spans="1:12" x14ac:dyDescent="0.35">
      <c r="A66" t="str">
        <f t="shared" si="0"/>
        <v>B-37-B-550-TS</v>
      </c>
      <c r="B66" t="s">
        <v>40</v>
      </c>
      <c r="C66" t="s">
        <v>31</v>
      </c>
      <c r="D66" t="s">
        <v>20</v>
      </c>
      <c r="E66">
        <v>0.48599999999999999</v>
      </c>
      <c r="F66">
        <v>98953.1</v>
      </c>
      <c r="G66">
        <v>16425</v>
      </c>
      <c r="H66">
        <v>49.71</v>
      </c>
      <c r="I66">
        <v>49674</v>
      </c>
      <c r="J66">
        <v>50.2</v>
      </c>
      <c r="K66">
        <v>0.27</v>
      </c>
      <c r="L66">
        <v>43411</v>
      </c>
    </row>
    <row r="67" spans="1:12" x14ac:dyDescent="0.35">
      <c r="A67" t="str">
        <f t="shared" ref="A67:A130" si="1">CONCATENATE(B67,"-",C67,"-",D67)</f>
        <v>B-37-B-550-TI</v>
      </c>
      <c r="B67" t="s">
        <v>40</v>
      </c>
      <c r="C67" t="s">
        <v>31</v>
      </c>
      <c r="D67" t="s">
        <v>18</v>
      </c>
      <c r="E67">
        <v>0.39800000000000002</v>
      </c>
      <c r="F67">
        <v>89513.1</v>
      </c>
      <c r="G67">
        <v>14684</v>
      </c>
      <c r="H67">
        <v>64.91</v>
      </c>
      <c r="I67">
        <v>60876</v>
      </c>
      <c r="J67">
        <v>68.010000000000005</v>
      </c>
      <c r="K67">
        <v>0.31</v>
      </c>
      <c r="L67">
        <v>32173</v>
      </c>
    </row>
    <row r="68" spans="1:12" x14ac:dyDescent="0.35">
      <c r="A68" t="str">
        <f t="shared" si="1"/>
        <v>B-0415-B-413-PORFIRITA</v>
      </c>
      <c r="B68" t="s">
        <v>44</v>
      </c>
      <c r="C68" t="s">
        <v>13</v>
      </c>
      <c r="D68" t="s">
        <v>14</v>
      </c>
      <c r="E68">
        <v>0.39</v>
      </c>
      <c r="F68">
        <v>103606.3</v>
      </c>
      <c r="G68">
        <v>14996</v>
      </c>
      <c r="H68">
        <v>64.150000000000006</v>
      </c>
      <c r="I68">
        <v>230444</v>
      </c>
      <c r="J68">
        <v>222.42</v>
      </c>
      <c r="K68">
        <v>0.28999999999999998</v>
      </c>
      <c r="L68">
        <v>36433</v>
      </c>
    </row>
    <row r="69" spans="1:12" x14ac:dyDescent="0.35">
      <c r="A69" t="str">
        <f t="shared" si="1"/>
        <v>B-0415-B-422-PORFIRITA</v>
      </c>
      <c r="B69" t="s">
        <v>44</v>
      </c>
      <c r="C69" t="s">
        <v>15</v>
      </c>
      <c r="D69" t="s">
        <v>14</v>
      </c>
      <c r="E69">
        <v>0.38600000000000001</v>
      </c>
      <c r="F69">
        <v>112818</v>
      </c>
      <c r="G69">
        <v>16741</v>
      </c>
      <c r="H69">
        <v>65.77</v>
      </c>
      <c r="I69">
        <v>258272</v>
      </c>
      <c r="J69">
        <v>228.93</v>
      </c>
      <c r="K69">
        <v>0.3</v>
      </c>
      <c r="L69">
        <v>39261</v>
      </c>
    </row>
    <row r="70" spans="1:12" x14ac:dyDescent="0.35">
      <c r="A70" t="str">
        <f t="shared" si="1"/>
        <v>B-0432-B-248-TS</v>
      </c>
      <c r="B70" t="s">
        <v>45</v>
      </c>
      <c r="C70" t="s">
        <v>46</v>
      </c>
      <c r="D70" t="s">
        <v>20</v>
      </c>
      <c r="E70">
        <v>0.40899999999999997</v>
      </c>
      <c r="F70">
        <v>195889.9</v>
      </c>
      <c r="G70">
        <v>46179</v>
      </c>
      <c r="H70">
        <v>70.59</v>
      </c>
      <c r="I70">
        <v>214699</v>
      </c>
      <c r="J70">
        <v>109.6</v>
      </c>
      <c r="K70">
        <v>0.39</v>
      </c>
      <c r="L70">
        <v>72274</v>
      </c>
    </row>
    <row r="71" spans="1:12" x14ac:dyDescent="0.35">
      <c r="A71" t="str">
        <f t="shared" si="1"/>
        <v>B-0432-B-459-TS</v>
      </c>
      <c r="B71" t="s">
        <v>45</v>
      </c>
      <c r="C71" t="s">
        <v>47</v>
      </c>
      <c r="D71" t="s">
        <v>20</v>
      </c>
      <c r="E71">
        <v>0.432</v>
      </c>
      <c r="F71">
        <v>258226</v>
      </c>
      <c r="G71">
        <v>55414</v>
      </c>
      <c r="H71">
        <v>64.260000000000005</v>
      </c>
      <c r="I71">
        <v>226801</v>
      </c>
      <c r="J71">
        <v>87.83</v>
      </c>
      <c r="K71">
        <v>0.35</v>
      </c>
      <c r="L71">
        <v>100734</v>
      </c>
    </row>
    <row r="72" spans="1:12" x14ac:dyDescent="0.35">
      <c r="A72" t="str">
        <f t="shared" si="1"/>
        <v>B-0432-B-460-TS</v>
      </c>
      <c r="B72" t="s">
        <v>45</v>
      </c>
      <c r="C72" t="s">
        <v>48</v>
      </c>
      <c r="D72" t="s">
        <v>20</v>
      </c>
      <c r="E72">
        <v>0.39600000000000002</v>
      </c>
      <c r="F72">
        <v>115690.7</v>
      </c>
      <c r="G72">
        <v>28659</v>
      </c>
      <c r="H72">
        <v>74.180000000000007</v>
      </c>
      <c r="I72">
        <v>144039</v>
      </c>
      <c r="J72">
        <v>124.5</v>
      </c>
      <c r="K72">
        <v>0.41</v>
      </c>
      <c r="L72">
        <v>41299</v>
      </c>
    </row>
    <row r="73" spans="1:12" x14ac:dyDescent="0.35">
      <c r="A73" t="str">
        <f t="shared" si="1"/>
        <v>B-52-B-251-TS</v>
      </c>
      <c r="B73" t="s">
        <v>49</v>
      </c>
      <c r="C73" t="s">
        <v>50</v>
      </c>
      <c r="D73" t="s">
        <v>20</v>
      </c>
      <c r="E73">
        <v>0.41499999999999998</v>
      </c>
      <c r="F73">
        <v>43783.3</v>
      </c>
      <c r="G73">
        <v>10081</v>
      </c>
      <c r="H73">
        <v>68.95</v>
      </c>
      <c r="I73">
        <v>45309</v>
      </c>
      <c r="J73">
        <v>103.48</v>
      </c>
      <c r="K73">
        <v>0.38</v>
      </c>
      <c r="L73">
        <v>16394</v>
      </c>
    </row>
    <row r="74" spans="1:12" x14ac:dyDescent="0.35">
      <c r="A74" t="str">
        <f t="shared" si="1"/>
        <v>B-52-B-454-TS</v>
      </c>
      <c r="B74" t="s">
        <v>49</v>
      </c>
      <c r="C74" t="s">
        <v>51</v>
      </c>
      <c r="D74" t="s">
        <v>20</v>
      </c>
      <c r="E74">
        <v>0.435</v>
      </c>
      <c r="F74">
        <v>89854.1</v>
      </c>
      <c r="G74">
        <v>19049</v>
      </c>
      <c r="H74">
        <v>63.48</v>
      </c>
      <c r="I74">
        <v>76773</v>
      </c>
      <c r="J74">
        <v>85.44</v>
      </c>
      <c r="K74">
        <v>0.35</v>
      </c>
      <c r="L74">
        <v>35285</v>
      </c>
    </row>
    <row r="75" spans="1:12" x14ac:dyDescent="0.35">
      <c r="A75" t="str">
        <f t="shared" si="1"/>
        <v>B-52-B-455-TS</v>
      </c>
      <c r="B75" t="s">
        <v>49</v>
      </c>
      <c r="C75" t="s">
        <v>41</v>
      </c>
      <c r="D75" t="s">
        <v>20</v>
      </c>
      <c r="E75">
        <v>0.49299999999999999</v>
      </c>
      <c r="F75">
        <v>171239.2</v>
      </c>
      <c r="G75">
        <v>27369</v>
      </c>
      <c r="H75">
        <v>47.86</v>
      </c>
      <c r="I75">
        <v>79824</v>
      </c>
      <c r="J75">
        <v>46.62</v>
      </c>
      <c r="K75">
        <v>0.26</v>
      </c>
      <c r="L75">
        <v>76178</v>
      </c>
    </row>
    <row r="76" spans="1:12" x14ac:dyDescent="0.35">
      <c r="A76" t="str">
        <f t="shared" si="1"/>
        <v>B-52-B-459-TS</v>
      </c>
      <c r="B76" t="s">
        <v>49</v>
      </c>
      <c r="C76" t="s">
        <v>47</v>
      </c>
      <c r="D76" t="s">
        <v>20</v>
      </c>
      <c r="E76">
        <v>0.46200000000000002</v>
      </c>
      <c r="F76">
        <v>102027.2</v>
      </c>
      <c r="G76">
        <v>19178</v>
      </c>
      <c r="H76">
        <v>56.29</v>
      </c>
      <c r="I76">
        <v>66778</v>
      </c>
      <c r="J76">
        <v>65.45</v>
      </c>
      <c r="K76">
        <v>0.31</v>
      </c>
      <c r="L76">
        <v>42517</v>
      </c>
    </row>
    <row r="77" spans="1:12" x14ac:dyDescent="0.35">
      <c r="A77" t="str">
        <f t="shared" si="1"/>
        <v>B-52-B-550-AZUL</v>
      </c>
      <c r="B77" t="s">
        <v>49</v>
      </c>
      <c r="C77" t="s">
        <v>31</v>
      </c>
      <c r="D77" t="s">
        <v>28</v>
      </c>
      <c r="E77">
        <v>0.39700000000000002</v>
      </c>
      <c r="F77">
        <v>2700.4</v>
      </c>
      <c r="G77">
        <v>472</v>
      </c>
      <c r="H77">
        <v>88.44</v>
      </c>
      <c r="I77">
        <v>3823</v>
      </c>
      <c r="J77">
        <v>141.58000000000001</v>
      </c>
      <c r="K77">
        <v>0.34</v>
      </c>
      <c r="L77">
        <v>919</v>
      </c>
    </row>
    <row r="78" spans="1:12" x14ac:dyDescent="0.35">
      <c r="A78" t="str">
        <f t="shared" si="1"/>
        <v>B-52-B-550-VERDE</v>
      </c>
      <c r="B78" t="s">
        <v>49</v>
      </c>
      <c r="C78" t="s">
        <v>31</v>
      </c>
      <c r="D78" t="s">
        <v>29</v>
      </c>
      <c r="E78">
        <v>0.314</v>
      </c>
      <c r="F78">
        <v>7595</v>
      </c>
      <c r="G78">
        <v>1863</v>
      </c>
      <c r="H78">
        <v>89.28</v>
      </c>
      <c r="I78">
        <v>27240</v>
      </c>
      <c r="J78">
        <v>358.66</v>
      </c>
      <c r="K78">
        <v>0.48</v>
      </c>
      <c r="L78">
        <v>2049</v>
      </c>
    </row>
    <row r="79" spans="1:12" x14ac:dyDescent="0.35">
      <c r="A79" t="str">
        <f t="shared" si="1"/>
        <v>B-52-B-550-TS</v>
      </c>
      <c r="B79" t="s">
        <v>49</v>
      </c>
      <c r="C79" t="s">
        <v>31</v>
      </c>
      <c r="D79" t="s">
        <v>20</v>
      </c>
      <c r="E79">
        <v>0.50900000000000001</v>
      </c>
      <c r="F79">
        <v>76150.5</v>
      </c>
      <c r="G79">
        <v>11096</v>
      </c>
      <c r="H79">
        <v>43.64</v>
      </c>
      <c r="I79">
        <v>30034</v>
      </c>
      <c r="J79">
        <v>39.44</v>
      </c>
      <c r="K79">
        <v>0.24</v>
      </c>
      <c r="L79">
        <v>34952</v>
      </c>
    </row>
    <row r="80" spans="1:12" x14ac:dyDescent="0.35">
      <c r="A80" t="str">
        <f t="shared" si="1"/>
        <v>B-52-B-551-AZUL</v>
      </c>
      <c r="B80" t="s">
        <v>49</v>
      </c>
      <c r="C80" t="s">
        <v>34</v>
      </c>
      <c r="D80" t="s">
        <v>28</v>
      </c>
      <c r="E80">
        <v>0.39800000000000002</v>
      </c>
      <c r="F80">
        <v>3932.8</v>
      </c>
      <c r="G80">
        <v>682</v>
      </c>
      <c r="H80">
        <v>87.79</v>
      </c>
      <c r="I80">
        <v>5181</v>
      </c>
      <c r="J80">
        <v>131.74</v>
      </c>
      <c r="K80">
        <v>0.34</v>
      </c>
      <c r="L80">
        <v>1344</v>
      </c>
    </row>
    <row r="81" spans="1:12" x14ac:dyDescent="0.35">
      <c r="A81" t="str">
        <f t="shared" si="1"/>
        <v>B-63-B-33(I)-VIOLETA</v>
      </c>
      <c r="B81" t="s">
        <v>52</v>
      </c>
      <c r="C81" t="s">
        <v>38</v>
      </c>
      <c r="D81" t="s">
        <v>26</v>
      </c>
      <c r="E81">
        <v>0.40100000000000002</v>
      </c>
      <c r="F81">
        <v>11516.3</v>
      </c>
      <c r="G81">
        <v>1970</v>
      </c>
      <c r="H81">
        <v>86.63</v>
      </c>
      <c r="I81">
        <v>13780</v>
      </c>
      <c r="J81">
        <v>119.65</v>
      </c>
      <c r="K81">
        <v>0.33</v>
      </c>
      <c r="L81">
        <v>3962</v>
      </c>
    </row>
    <row r="82" spans="1:12" x14ac:dyDescent="0.35">
      <c r="A82" t="str">
        <f t="shared" si="1"/>
        <v>B-63-B-33(I)-ROJO</v>
      </c>
      <c r="B82" t="s">
        <v>52</v>
      </c>
      <c r="C82" t="s">
        <v>38</v>
      </c>
      <c r="D82" t="s">
        <v>27</v>
      </c>
      <c r="E82">
        <v>0.54900000000000004</v>
      </c>
      <c r="F82">
        <v>11594.2</v>
      </c>
      <c r="G82">
        <v>503</v>
      </c>
      <c r="H82">
        <v>15.78</v>
      </c>
      <c r="I82">
        <v>1111</v>
      </c>
      <c r="J82">
        <v>9.58</v>
      </c>
      <c r="K82">
        <v>0.08</v>
      </c>
      <c r="L82">
        <v>5469</v>
      </c>
    </row>
    <row r="83" spans="1:12" x14ac:dyDescent="0.35">
      <c r="A83" t="str">
        <f t="shared" si="1"/>
        <v>B-63-B-33(I)-AZUL</v>
      </c>
      <c r="B83" t="s">
        <v>52</v>
      </c>
      <c r="C83" t="s">
        <v>38</v>
      </c>
      <c r="D83" t="s">
        <v>28</v>
      </c>
      <c r="E83">
        <v>0.49</v>
      </c>
      <c r="F83">
        <v>8060.8</v>
      </c>
      <c r="G83">
        <v>759</v>
      </c>
      <c r="H83">
        <v>47.67</v>
      </c>
      <c r="I83">
        <v>1892</v>
      </c>
      <c r="J83">
        <v>23.47</v>
      </c>
      <c r="K83">
        <v>0.18</v>
      </c>
      <c r="L83">
        <v>3393</v>
      </c>
    </row>
    <row r="84" spans="1:12" x14ac:dyDescent="0.35">
      <c r="A84" t="str">
        <f t="shared" si="1"/>
        <v>B-63-B-33(I)-VERDE</v>
      </c>
      <c r="B84" t="s">
        <v>52</v>
      </c>
      <c r="C84" t="s">
        <v>38</v>
      </c>
      <c r="D84" t="s">
        <v>29</v>
      </c>
      <c r="E84">
        <v>0.56000000000000005</v>
      </c>
      <c r="F84">
        <v>21173.4</v>
      </c>
      <c r="G84">
        <v>731</v>
      </c>
      <c r="H84">
        <v>12.57</v>
      </c>
      <c r="I84">
        <v>1617</v>
      </c>
      <c r="J84">
        <v>7.64</v>
      </c>
      <c r="K84">
        <v>7.0000000000000007E-2</v>
      </c>
      <c r="L84">
        <v>10174</v>
      </c>
    </row>
    <row r="85" spans="1:12" x14ac:dyDescent="0.35">
      <c r="A85" t="str">
        <f t="shared" si="1"/>
        <v>B-63-B-403-VIOLETA</v>
      </c>
      <c r="B85" t="s">
        <v>52</v>
      </c>
      <c r="C85" t="s">
        <v>25</v>
      </c>
      <c r="D85" t="s">
        <v>26</v>
      </c>
      <c r="E85">
        <v>0.52800000000000002</v>
      </c>
      <c r="F85">
        <v>15992.6</v>
      </c>
      <c r="G85">
        <v>983</v>
      </c>
      <c r="H85">
        <v>31.13</v>
      </c>
      <c r="I85">
        <v>2184</v>
      </c>
      <c r="J85">
        <v>13.66</v>
      </c>
      <c r="K85">
        <v>0.12</v>
      </c>
      <c r="L85">
        <v>7254</v>
      </c>
    </row>
    <row r="86" spans="1:12" x14ac:dyDescent="0.35">
      <c r="A86" t="str">
        <f t="shared" si="1"/>
        <v>B-63-B-403-ROJO</v>
      </c>
      <c r="B86" t="s">
        <v>52</v>
      </c>
      <c r="C86" t="s">
        <v>25</v>
      </c>
      <c r="D86" t="s">
        <v>27</v>
      </c>
      <c r="E86">
        <v>0.57799999999999996</v>
      </c>
      <c r="F86">
        <v>18380.599999999999</v>
      </c>
      <c r="G86">
        <v>343</v>
      </c>
      <c r="H86">
        <v>6.8</v>
      </c>
      <c r="I86">
        <v>760</v>
      </c>
      <c r="J86">
        <v>4.13</v>
      </c>
      <c r="K86">
        <v>0.04</v>
      </c>
      <c r="L86">
        <v>9123</v>
      </c>
    </row>
    <row r="87" spans="1:12" x14ac:dyDescent="0.35">
      <c r="A87" t="str">
        <f t="shared" si="1"/>
        <v>B-63-B-403-AZUL</v>
      </c>
      <c r="B87" t="s">
        <v>52</v>
      </c>
      <c r="C87" t="s">
        <v>25</v>
      </c>
      <c r="D87" t="s">
        <v>28</v>
      </c>
      <c r="E87">
        <v>0.52400000000000002</v>
      </c>
      <c r="F87">
        <v>9222</v>
      </c>
      <c r="G87">
        <v>599</v>
      </c>
      <c r="H87">
        <v>32.909999999999997</v>
      </c>
      <c r="I87">
        <v>1338</v>
      </c>
      <c r="J87">
        <v>14.51</v>
      </c>
      <c r="K87">
        <v>0.13</v>
      </c>
      <c r="L87">
        <v>4150</v>
      </c>
    </row>
    <row r="88" spans="1:12" x14ac:dyDescent="0.35">
      <c r="A88" t="str">
        <f t="shared" si="1"/>
        <v>B-63-B-403-VERDE</v>
      </c>
      <c r="B88" t="s">
        <v>52</v>
      </c>
      <c r="C88" t="s">
        <v>25</v>
      </c>
      <c r="D88" t="s">
        <v>29</v>
      </c>
      <c r="E88">
        <v>0.57199999999999995</v>
      </c>
      <c r="F88">
        <v>24613.4</v>
      </c>
      <c r="G88">
        <v>586</v>
      </c>
      <c r="H88">
        <v>8.67</v>
      </c>
      <c r="I88">
        <v>1298</v>
      </c>
      <c r="J88">
        <v>5.27</v>
      </c>
      <c r="K88">
        <v>0.05</v>
      </c>
      <c r="L88">
        <v>12090</v>
      </c>
    </row>
    <row r="89" spans="1:12" x14ac:dyDescent="0.35">
      <c r="A89" t="str">
        <f t="shared" si="1"/>
        <v>B-63-B-550-VIOLETA</v>
      </c>
      <c r="B89" t="s">
        <v>52</v>
      </c>
      <c r="C89" t="s">
        <v>31</v>
      </c>
      <c r="D89" t="s">
        <v>26</v>
      </c>
      <c r="E89">
        <v>0.40200000000000002</v>
      </c>
      <c r="F89">
        <v>8152.9</v>
      </c>
      <c r="G89">
        <v>1387</v>
      </c>
      <c r="H89">
        <v>86.16</v>
      </c>
      <c r="I89">
        <v>9436</v>
      </c>
      <c r="J89">
        <v>115.74</v>
      </c>
      <c r="K89">
        <v>0.33</v>
      </c>
      <c r="L89">
        <v>2812</v>
      </c>
    </row>
    <row r="90" spans="1:12" x14ac:dyDescent="0.35">
      <c r="A90" t="str">
        <f t="shared" si="1"/>
        <v>B-63-B-550-ROJO</v>
      </c>
      <c r="B90" t="s">
        <v>52</v>
      </c>
      <c r="C90" t="s">
        <v>31</v>
      </c>
      <c r="D90" t="s">
        <v>27</v>
      </c>
      <c r="E90">
        <v>0.53900000000000003</v>
      </c>
      <c r="F90">
        <v>8749.7000000000007</v>
      </c>
      <c r="G90">
        <v>460</v>
      </c>
      <c r="H90">
        <v>19.12</v>
      </c>
      <c r="I90">
        <v>1014</v>
      </c>
      <c r="J90">
        <v>11.59</v>
      </c>
      <c r="K90">
        <v>0.1</v>
      </c>
      <c r="L90">
        <v>4047</v>
      </c>
    </row>
    <row r="91" spans="1:12" x14ac:dyDescent="0.35">
      <c r="A91" t="str">
        <f t="shared" si="1"/>
        <v>B-63-B-550-AZUL</v>
      </c>
      <c r="B91" t="s">
        <v>52</v>
      </c>
      <c r="C91" t="s">
        <v>31</v>
      </c>
      <c r="D91" t="s">
        <v>28</v>
      </c>
      <c r="E91">
        <v>0.53</v>
      </c>
      <c r="F91">
        <v>3860.7</v>
      </c>
      <c r="G91">
        <v>231</v>
      </c>
      <c r="H91">
        <v>30.35</v>
      </c>
      <c r="I91">
        <v>513</v>
      </c>
      <c r="J91">
        <v>13.3</v>
      </c>
      <c r="K91">
        <v>0.12</v>
      </c>
      <c r="L91">
        <v>1757</v>
      </c>
    </row>
    <row r="92" spans="1:12" x14ac:dyDescent="0.35">
      <c r="A92" t="str">
        <f t="shared" si="1"/>
        <v>B-63-B-550-VERDE</v>
      </c>
      <c r="B92" t="s">
        <v>52</v>
      </c>
      <c r="C92" t="s">
        <v>31</v>
      </c>
      <c r="D92" t="s">
        <v>29</v>
      </c>
      <c r="E92">
        <v>0.56000000000000005</v>
      </c>
      <c r="F92">
        <v>12552</v>
      </c>
      <c r="G92">
        <v>428</v>
      </c>
      <c r="H92">
        <v>12.43</v>
      </c>
      <c r="I92">
        <v>948</v>
      </c>
      <c r="J92">
        <v>7.55</v>
      </c>
      <c r="K92">
        <v>7.0000000000000007E-2</v>
      </c>
      <c r="L92">
        <v>6036</v>
      </c>
    </row>
    <row r="93" spans="1:12" x14ac:dyDescent="0.35">
      <c r="A93" t="str">
        <f t="shared" si="1"/>
        <v>B-63-B-551-VIOLETA</v>
      </c>
      <c r="B93" t="s">
        <v>52</v>
      </c>
      <c r="C93" t="s">
        <v>34</v>
      </c>
      <c r="D93" t="s">
        <v>26</v>
      </c>
      <c r="E93">
        <v>0.39500000000000002</v>
      </c>
      <c r="F93">
        <v>2186</v>
      </c>
      <c r="G93">
        <v>385</v>
      </c>
      <c r="H93">
        <v>89.28</v>
      </c>
      <c r="I93">
        <v>14332</v>
      </c>
      <c r="J93">
        <v>655.64</v>
      </c>
      <c r="K93">
        <v>0.34</v>
      </c>
      <c r="L93">
        <v>741</v>
      </c>
    </row>
    <row r="94" spans="1:12" x14ac:dyDescent="0.35">
      <c r="A94" t="str">
        <f t="shared" si="1"/>
        <v>B-63-B-551-AZUL</v>
      </c>
      <c r="B94" t="s">
        <v>52</v>
      </c>
      <c r="C94" t="s">
        <v>34</v>
      </c>
      <c r="D94" t="s">
        <v>28</v>
      </c>
      <c r="E94">
        <v>0.41499999999999998</v>
      </c>
      <c r="F94">
        <v>1069.5</v>
      </c>
      <c r="G94">
        <v>170</v>
      </c>
      <c r="H94">
        <v>80.33</v>
      </c>
      <c r="I94">
        <v>906</v>
      </c>
      <c r="J94">
        <v>84.68</v>
      </c>
      <c r="K94">
        <v>0.31</v>
      </c>
      <c r="L94">
        <v>381</v>
      </c>
    </row>
    <row r="95" spans="1:12" x14ac:dyDescent="0.35">
      <c r="A95" t="str">
        <f t="shared" si="1"/>
        <v>B-327-B-13-TS</v>
      </c>
      <c r="B95" t="s">
        <v>53</v>
      </c>
      <c r="C95" t="s">
        <v>54</v>
      </c>
      <c r="D95" t="s">
        <v>20</v>
      </c>
      <c r="E95">
        <v>0.46300000000000002</v>
      </c>
      <c r="F95">
        <v>122123.3</v>
      </c>
      <c r="G95">
        <v>22783</v>
      </c>
      <c r="H95">
        <v>55.87</v>
      </c>
      <c r="I95">
        <v>78615</v>
      </c>
      <c r="J95">
        <v>64.37</v>
      </c>
      <c r="K95">
        <v>0.31</v>
      </c>
      <c r="L95">
        <v>51065</v>
      </c>
    </row>
    <row r="96" spans="1:12" x14ac:dyDescent="0.35">
      <c r="A96" t="str">
        <f t="shared" si="1"/>
        <v>B-327-B-17-TS</v>
      </c>
      <c r="B96" t="s">
        <v>53</v>
      </c>
      <c r="C96" t="s">
        <v>17</v>
      </c>
      <c r="D96" t="s">
        <v>20</v>
      </c>
      <c r="E96">
        <v>0.434</v>
      </c>
      <c r="F96">
        <v>265691.5</v>
      </c>
      <c r="G96">
        <v>56527</v>
      </c>
      <c r="H96">
        <v>63.71</v>
      </c>
      <c r="I96">
        <v>228852</v>
      </c>
      <c r="J96">
        <v>86.13</v>
      </c>
      <c r="K96">
        <v>0.35</v>
      </c>
      <c r="L96">
        <v>104135</v>
      </c>
    </row>
    <row r="97" spans="1:12" x14ac:dyDescent="0.35">
      <c r="A97" t="str">
        <f t="shared" si="1"/>
        <v>B-327-B-325-TS</v>
      </c>
      <c r="B97" t="s">
        <v>53</v>
      </c>
      <c r="C97" t="s">
        <v>55</v>
      </c>
      <c r="D97" t="s">
        <v>20</v>
      </c>
      <c r="E97">
        <v>0.441</v>
      </c>
      <c r="F97">
        <v>356518.2</v>
      </c>
      <c r="G97">
        <v>73721</v>
      </c>
      <c r="H97">
        <v>61.92</v>
      </c>
      <c r="I97">
        <v>288058</v>
      </c>
      <c r="J97">
        <v>80.8</v>
      </c>
      <c r="K97">
        <v>0.34</v>
      </c>
      <c r="L97">
        <v>141863</v>
      </c>
    </row>
    <row r="98" spans="1:12" x14ac:dyDescent="0.35">
      <c r="A98" t="str">
        <f t="shared" si="1"/>
        <v>B-327-B-482-TS</v>
      </c>
      <c r="B98" t="s">
        <v>53</v>
      </c>
      <c r="C98" t="s">
        <v>56</v>
      </c>
      <c r="D98" t="s">
        <v>20</v>
      </c>
      <c r="E98">
        <v>0.48699999999999999</v>
      </c>
      <c r="F98">
        <v>109091.9</v>
      </c>
      <c r="G98">
        <v>17985</v>
      </c>
      <c r="H98">
        <v>49.37</v>
      </c>
      <c r="I98">
        <v>54021</v>
      </c>
      <c r="J98">
        <v>49.52</v>
      </c>
      <c r="K98">
        <v>0.27</v>
      </c>
      <c r="L98">
        <v>47982</v>
      </c>
    </row>
    <row r="99" spans="1:12" x14ac:dyDescent="0.35">
      <c r="A99" t="str">
        <f t="shared" si="1"/>
        <v>B-327-B-497-TS</v>
      </c>
      <c r="B99" t="s">
        <v>53</v>
      </c>
      <c r="C99" t="s">
        <v>57</v>
      </c>
      <c r="D99" t="s">
        <v>20</v>
      </c>
      <c r="E99">
        <v>0.53800000000000003</v>
      </c>
      <c r="F99">
        <v>50025.7</v>
      </c>
      <c r="G99">
        <v>5948</v>
      </c>
      <c r="H99">
        <v>35.61</v>
      </c>
      <c r="I99">
        <v>14379</v>
      </c>
      <c r="J99">
        <v>28.74</v>
      </c>
      <c r="K99">
        <v>0.2</v>
      </c>
      <c r="L99">
        <v>24302</v>
      </c>
    </row>
    <row r="100" spans="1:12" x14ac:dyDescent="0.35">
      <c r="A100" t="str">
        <f t="shared" si="1"/>
        <v>B-331-B-26-TS</v>
      </c>
      <c r="B100" t="s">
        <v>58</v>
      </c>
      <c r="C100" t="s">
        <v>59</v>
      </c>
      <c r="D100" t="s">
        <v>20</v>
      </c>
      <c r="E100">
        <v>0.46300000000000002</v>
      </c>
      <c r="F100">
        <v>239671.2</v>
      </c>
      <c r="G100">
        <v>44753</v>
      </c>
      <c r="H100">
        <v>55.92</v>
      </c>
      <c r="I100">
        <v>154595</v>
      </c>
      <c r="J100">
        <v>64.5</v>
      </c>
      <c r="K100">
        <v>0.31</v>
      </c>
      <c r="L100">
        <v>100175</v>
      </c>
    </row>
    <row r="101" spans="1:12" x14ac:dyDescent="0.35">
      <c r="A101" t="str">
        <f t="shared" si="1"/>
        <v>B-331-B-294-TS</v>
      </c>
      <c r="B101" t="s">
        <v>58</v>
      </c>
      <c r="C101" t="s">
        <v>60</v>
      </c>
      <c r="D101" t="s">
        <v>20</v>
      </c>
      <c r="E101">
        <v>0.45600000000000002</v>
      </c>
      <c r="F101">
        <v>398857.3</v>
      </c>
      <c r="G101">
        <v>77185</v>
      </c>
      <c r="H101">
        <v>57.95</v>
      </c>
      <c r="I101">
        <v>278294</v>
      </c>
      <c r="J101">
        <v>69.77</v>
      </c>
      <c r="K101">
        <v>0.32</v>
      </c>
      <c r="L101">
        <v>164001</v>
      </c>
    </row>
    <row r="102" spans="1:12" x14ac:dyDescent="0.35">
      <c r="A102" t="str">
        <f t="shared" si="1"/>
        <v>B-331-B-325-TS</v>
      </c>
      <c r="B102" t="s">
        <v>58</v>
      </c>
      <c r="C102" t="s">
        <v>55</v>
      </c>
      <c r="D102" t="s">
        <v>20</v>
      </c>
      <c r="E102">
        <v>0.44900000000000001</v>
      </c>
      <c r="F102">
        <v>483482.3</v>
      </c>
      <c r="G102">
        <v>96352</v>
      </c>
      <c r="H102">
        <v>59.68</v>
      </c>
      <c r="I102">
        <v>359914</v>
      </c>
      <c r="J102">
        <v>74.44</v>
      </c>
      <c r="K102">
        <v>0.33</v>
      </c>
      <c r="L102">
        <v>196006</v>
      </c>
    </row>
    <row r="103" spans="1:12" x14ac:dyDescent="0.35">
      <c r="A103" t="str">
        <f t="shared" si="1"/>
        <v>B-331-B-329-TS</v>
      </c>
      <c r="B103" t="s">
        <v>58</v>
      </c>
      <c r="C103" t="s">
        <v>61</v>
      </c>
      <c r="D103" t="s">
        <v>20</v>
      </c>
      <c r="E103">
        <v>0.42699999999999999</v>
      </c>
      <c r="F103">
        <v>412153</v>
      </c>
      <c r="G103">
        <v>90545</v>
      </c>
      <c r="H103">
        <v>65.790000000000006</v>
      </c>
      <c r="I103">
        <v>381952</v>
      </c>
      <c r="J103">
        <v>92.67</v>
      </c>
      <c r="K103">
        <v>0.36</v>
      </c>
      <c r="L103">
        <v>158681</v>
      </c>
    </row>
    <row r="104" spans="1:12" x14ac:dyDescent="0.35">
      <c r="A104" t="str">
        <f t="shared" si="1"/>
        <v>B-331-B-482-TS</v>
      </c>
      <c r="B104" t="s">
        <v>58</v>
      </c>
      <c r="C104" t="s">
        <v>56</v>
      </c>
      <c r="D104" t="s">
        <v>20</v>
      </c>
      <c r="E104">
        <v>0.47399999999999998</v>
      </c>
      <c r="F104">
        <v>159037.9</v>
      </c>
      <c r="G104">
        <v>28166</v>
      </c>
      <c r="H104">
        <v>53.03</v>
      </c>
      <c r="I104">
        <v>91381</v>
      </c>
      <c r="J104">
        <v>57.46</v>
      </c>
      <c r="K104">
        <v>0.28999999999999998</v>
      </c>
      <c r="L104">
        <v>68003</v>
      </c>
    </row>
    <row r="105" spans="1:12" x14ac:dyDescent="0.35">
      <c r="A105" t="str">
        <f t="shared" si="1"/>
        <v>B-334-B-19-VIOLETA</v>
      </c>
      <c r="B105" t="s">
        <v>62</v>
      </c>
      <c r="C105" t="s">
        <v>63</v>
      </c>
      <c r="D105" t="s">
        <v>26</v>
      </c>
      <c r="E105">
        <v>0.441</v>
      </c>
      <c r="F105">
        <v>4696.8</v>
      </c>
      <c r="G105">
        <v>641</v>
      </c>
      <c r="H105">
        <v>69.14</v>
      </c>
      <c r="I105">
        <v>2524</v>
      </c>
      <c r="J105">
        <v>53.73</v>
      </c>
      <c r="K105">
        <v>0.27</v>
      </c>
      <c r="L105">
        <v>1778</v>
      </c>
    </row>
    <row r="106" spans="1:12" x14ac:dyDescent="0.35">
      <c r="A106" t="str">
        <f t="shared" si="1"/>
        <v>B-334-B-19-ROJO</v>
      </c>
      <c r="B106" t="s">
        <v>62</v>
      </c>
      <c r="C106" t="s">
        <v>63</v>
      </c>
      <c r="D106" t="s">
        <v>27</v>
      </c>
      <c r="E106">
        <v>0.46</v>
      </c>
      <c r="F106">
        <v>7872.5</v>
      </c>
      <c r="G106">
        <v>943</v>
      </c>
      <c r="H106">
        <v>43.61</v>
      </c>
      <c r="I106">
        <v>2246</v>
      </c>
      <c r="J106">
        <v>28.53</v>
      </c>
      <c r="K106">
        <v>0.23</v>
      </c>
      <c r="L106">
        <v>3112</v>
      </c>
    </row>
    <row r="107" spans="1:12" x14ac:dyDescent="0.35">
      <c r="A107" t="str">
        <f t="shared" si="1"/>
        <v>B-334-B-19-AZUL</v>
      </c>
      <c r="B107" t="s">
        <v>62</v>
      </c>
      <c r="C107" t="s">
        <v>63</v>
      </c>
      <c r="D107" t="s">
        <v>28</v>
      </c>
      <c r="E107">
        <v>0.53800000000000003</v>
      </c>
      <c r="F107">
        <v>4409.3999999999996</v>
      </c>
      <c r="G107">
        <v>236</v>
      </c>
      <c r="H107">
        <v>27.12</v>
      </c>
      <c r="I107">
        <v>522</v>
      </c>
      <c r="J107">
        <v>11.83</v>
      </c>
      <c r="K107">
        <v>0.1</v>
      </c>
      <c r="L107">
        <v>2035</v>
      </c>
    </row>
    <row r="108" spans="1:12" x14ac:dyDescent="0.35">
      <c r="A108" t="str">
        <f t="shared" si="1"/>
        <v>B-334-B-19-VERDE</v>
      </c>
      <c r="B108" t="s">
        <v>62</v>
      </c>
      <c r="C108" t="s">
        <v>63</v>
      </c>
      <c r="D108" t="s">
        <v>29</v>
      </c>
      <c r="E108">
        <v>0.56100000000000005</v>
      </c>
      <c r="F108">
        <v>15449.4</v>
      </c>
      <c r="G108">
        <v>518</v>
      </c>
      <c r="H108">
        <v>12.2</v>
      </c>
      <c r="I108">
        <v>1145</v>
      </c>
      <c r="J108">
        <v>7.41</v>
      </c>
      <c r="K108">
        <v>7.0000000000000007E-2</v>
      </c>
      <c r="L108">
        <v>7439</v>
      </c>
    </row>
    <row r="109" spans="1:12" x14ac:dyDescent="0.35">
      <c r="A109" t="str">
        <f t="shared" si="1"/>
        <v>B-334-B-19-TI</v>
      </c>
      <c r="B109" t="s">
        <v>62</v>
      </c>
      <c r="C109" t="s">
        <v>63</v>
      </c>
      <c r="D109" t="s">
        <v>18</v>
      </c>
      <c r="E109">
        <v>0.374</v>
      </c>
      <c r="F109">
        <v>44841.7</v>
      </c>
      <c r="G109">
        <v>8335</v>
      </c>
      <c r="H109">
        <v>73.56</v>
      </c>
      <c r="I109">
        <v>41306</v>
      </c>
      <c r="J109">
        <v>92.12</v>
      </c>
      <c r="K109">
        <v>0.36</v>
      </c>
      <c r="L109">
        <v>15138</v>
      </c>
    </row>
    <row r="110" spans="1:12" x14ac:dyDescent="0.35">
      <c r="A110" t="str">
        <f t="shared" si="1"/>
        <v>B-334-B-19-GRUPO_ARENAS</v>
      </c>
      <c r="B110" t="s">
        <v>62</v>
      </c>
      <c r="C110" t="s">
        <v>63</v>
      </c>
      <c r="D110" t="s">
        <v>37</v>
      </c>
      <c r="E110">
        <v>0.42199999999999999</v>
      </c>
      <c r="F110">
        <v>138661.79999999999</v>
      </c>
      <c r="G110">
        <v>18530</v>
      </c>
      <c r="H110">
        <v>54.84</v>
      </c>
      <c r="I110">
        <v>62540</v>
      </c>
      <c r="J110">
        <v>45.1</v>
      </c>
      <c r="K110">
        <v>0.26</v>
      </c>
      <c r="L110">
        <v>52803</v>
      </c>
    </row>
    <row r="111" spans="1:12" x14ac:dyDescent="0.35">
      <c r="A111" t="str">
        <f t="shared" si="1"/>
        <v>B-334-B-27-VIOLETA</v>
      </c>
      <c r="B111" t="s">
        <v>62</v>
      </c>
      <c r="C111" t="s">
        <v>36</v>
      </c>
      <c r="D111" t="s">
        <v>26</v>
      </c>
      <c r="E111">
        <v>0.53900000000000003</v>
      </c>
      <c r="F111">
        <v>5526.9</v>
      </c>
      <c r="G111">
        <v>290</v>
      </c>
      <c r="H111">
        <v>26.62</v>
      </c>
      <c r="I111">
        <v>642</v>
      </c>
      <c r="J111">
        <v>11.61</v>
      </c>
      <c r="K111">
        <v>0.1</v>
      </c>
      <c r="L111">
        <v>2556</v>
      </c>
    </row>
    <row r="112" spans="1:12" x14ac:dyDescent="0.35">
      <c r="A112" t="str">
        <f t="shared" si="1"/>
        <v>B-334-B-27-ROJO</v>
      </c>
      <c r="B112" t="s">
        <v>62</v>
      </c>
      <c r="C112" t="s">
        <v>36</v>
      </c>
      <c r="D112" t="s">
        <v>27</v>
      </c>
      <c r="E112">
        <v>0.58399999999999996</v>
      </c>
      <c r="F112">
        <v>9027.6</v>
      </c>
      <c r="G112">
        <v>124</v>
      </c>
      <c r="H112">
        <v>5.0199999999999996</v>
      </c>
      <c r="I112">
        <v>276</v>
      </c>
      <c r="J112">
        <v>3.05</v>
      </c>
      <c r="K112">
        <v>0.03</v>
      </c>
      <c r="L112">
        <v>4525</v>
      </c>
    </row>
    <row r="113" spans="1:12" x14ac:dyDescent="0.35">
      <c r="A113" t="str">
        <f t="shared" si="1"/>
        <v>B-334-B-27-AZUL</v>
      </c>
      <c r="B113" t="s">
        <v>62</v>
      </c>
      <c r="C113" t="s">
        <v>36</v>
      </c>
      <c r="D113" t="s">
        <v>28</v>
      </c>
      <c r="E113">
        <v>0.52</v>
      </c>
      <c r="F113">
        <v>4809.7</v>
      </c>
      <c r="G113">
        <v>331</v>
      </c>
      <c r="H113">
        <v>34.909999999999997</v>
      </c>
      <c r="I113">
        <v>745</v>
      </c>
      <c r="J113">
        <v>15.49</v>
      </c>
      <c r="K113">
        <v>0.13</v>
      </c>
      <c r="L113">
        <v>2146</v>
      </c>
    </row>
    <row r="114" spans="1:12" x14ac:dyDescent="0.35">
      <c r="A114" t="str">
        <f t="shared" si="1"/>
        <v>B-334-B-27-VERDE</v>
      </c>
      <c r="B114" t="s">
        <v>62</v>
      </c>
      <c r="C114" t="s">
        <v>36</v>
      </c>
      <c r="D114" t="s">
        <v>29</v>
      </c>
      <c r="E114">
        <v>0.57499999999999996</v>
      </c>
      <c r="F114">
        <v>23090.799999999999</v>
      </c>
      <c r="G114">
        <v>499</v>
      </c>
      <c r="H114">
        <v>7.86</v>
      </c>
      <c r="I114">
        <v>1104</v>
      </c>
      <c r="J114">
        <v>4.78</v>
      </c>
      <c r="K114">
        <v>0.04</v>
      </c>
      <c r="L114">
        <v>11394</v>
      </c>
    </row>
    <row r="115" spans="1:12" x14ac:dyDescent="0.35">
      <c r="A115" t="str">
        <f t="shared" si="1"/>
        <v>B-334-B-27-TI</v>
      </c>
      <c r="B115" t="s">
        <v>62</v>
      </c>
      <c r="C115" t="s">
        <v>36</v>
      </c>
      <c r="D115" t="s">
        <v>18</v>
      </c>
      <c r="E115">
        <v>0.36099999999999999</v>
      </c>
      <c r="F115">
        <v>74949.2</v>
      </c>
      <c r="G115">
        <v>14797</v>
      </c>
      <c r="H115">
        <v>78.13</v>
      </c>
      <c r="I115">
        <v>81985</v>
      </c>
      <c r="J115">
        <v>109.39</v>
      </c>
      <c r="K115">
        <v>0.38</v>
      </c>
      <c r="L115">
        <v>24436</v>
      </c>
    </row>
    <row r="116" spans="1:12" x14ac:dyDescent="0.35">
      <c r="A116" t="str">
        <f t="shared" si="1"/>
        <v>B-334-B-27-GRUPO_ARENAS</v>
      </c>
      <c r="B116" t="s">
        <v>62</v>
      </c>
      <c r="C116" t="s">
        <v>36</v>
      </c>
      <c r="D116" t="s">
        <v>37</v>
      </c>
      <c r="E116">
        <v>0.42099999999999999</v>
      </c>
      <c r="F116">
        <v>194854.5</v>
      </c>
      <c r="G116">
        <v>26233</v>
      </c>
      <c r="H116">
        <v>55.25</v>
      </c>
      <c r="I116">
        <v>89320</v>
      </c>
      <c r="J116">
        <v>45.84</v>
      </c>
      <c r="K116">
        <v>0.26</v>
      </c>
      <c r="L116">
        <v>74008</v>
      </c>
    </row>
    <row r="117" spans="1:12" x14ac:dyDescent="0.35">
      <c r="A117" t="str">
        <f t="shared" si="1"/>
        <v>B-334-B-33(I)-VIOLETA</v>
      </c>
      <c r="B117" t="s">
        <v>62</v>
      </c>
      <c r="C117" t="s">
        <v>38</v>
      </c>
      <c r="D117" t="s">
        <v>26</v>
      </c>
      <c r="E117">
        <v>0.54100000000000004</v>
      </c>
      <c r="F117">
        <v>7633.1</v>
      </c>
      <c r="G117">
        <v>385</v>
      </c>
      <c r="H117">
        <v>25.55</v>
      </c>
      <c r="I117">
        <v>850</v>
      </c>
      <c r="J117">
        <v>11.13</v>
      </c>
      <c r="K117">
        <v>0.1</v>
      </c>
      <c r="L117">
        <v>3546</v>
      </c>
    </row>
    <row r="118" spans="1:12" x14ac:dyDescent="0.35">
      <c r="A118" t="str">
        <f t="shared" si="1"/>
        <v>B-334-B-33(I)-ROJO</v>
      </c>
      <c r="B118" t="s">
        <v>62</v>
      </c>
      <c r="C118" t="s">
        <v>38</v>
      </c>
      <c r="D118" t="s">
        <v>27</v>
      </c>
      <c r="E118">
        <v>0.58399999999999996</v>
      </c>
      <c r="F118">
        <v>11638.3</v>
      </c>
      <c r="G118">
        <v>159</v>
      </c>
      <c r="H118">
        <v>4.97</v>
      </c>
      <c r="I118">
        <v>352</v>
      </c>
      <c r="J118">
        <v>3.02</v>
      </c>
      <c r="K118">
        <v>0.03</v>
      </c>
      <c r="L118">
        <v>5835</v>
      </c>
    </row>
    <row r="119" spans="1:12" x14ac:dyDescent="0.35">
      <c r="A119" t="str">
        <f t="shared" si="1"/>
        <v>B-334-B-33(I)-AZUL</v>
      </c>
      <c r="B119" t="s">
        <v>62</v>
      </c>
      <c r="C119" t="s">
        <v>38</v>
      </c>
      <c r="D119" t="s">
        <v>28</v>
      </c>
      <c r="E119">
        <v>0.52300000000000002</v>
      </c>
      <c r="F119">
        <v>8971.6</v>
      </c>
      <c r="G119">
        <v>593</v>
      </c>
      <c r="H119">
        <v>33.479999999999997</v>
      </c>
      <c r="I119">
        <v>1327</v>
      </c>
      <c r="J119">
        <v>14.79</v>
      </c>
      <c r="K119">
        <v>0.13</v>
      </c>
      <c r="L119">
        <v>4028</v>
      </c>
    </row>
    <row r="120" spans="1:12" x14ac:dyDescent="0.35">
      <c r="A120" t="str">
        <f t="shared" si="1"/>
        <v>B-334-B-33(I)-VERDE</v>
      </c>
      <c r="B120" t="s">
        <v>62</v>
      </c>
      <c r="C120" t="s">
        <v>38</v>
      </c>
      <c r="D120" t="s">
        <v>29</v>
      </c>
      <c r="E120">
        <v>0.57599999999999996</v>
      </c>
      <c r="F120">
        <v>27019.4</v>
      </c>
      <c r="G120">
        <v>560</v>
      </c>
      <c r="H120">
        <v>7.55</v>
      </c>
      <c r="I120">
        <v>1240</v>
      </c>
      <c r="J120">
        <v>4.59</v>
      </c>
      <c r="K120">
        <v>0.04</v>
      </c>
      <c r="L120">
        <v>13356</v>
      </c>
    </row>
    <row r="121" spans="1:12" x14ac:dyDescent="0.35">
      <c r="A121" t="str">
        <f t="shared" si="1"/>
        <v>B-334-B-33(I)-TS</v>
      </c>
      <c r="B121" t="s">
        <v>62</v>
      </c>
      <c r="C121" t="s">
        <v>38</v>
      </c>
      <c r="D121" t="s">
        <v>20</v>
      </c>
      <c r="E121">
        <v>0.443</v>
      </c>
      <c r="F121">
        <v>108350.8</v>
      </c>
      <c r="G121">
        <v>22235</v>
      </c>
      <c r="H121">
        <v>61.45</v>
      </c>
      <c r="I121">
        <v>86074</v>
      </c>
      <c r="J121">
        <v>79.44</v>
      </c>
      <c r="K121">
        <v>0.34</v>
      </c>
      <c r="L121">
        <v>43284</v>
      </c>
    </row>
    <row r="122" spans="1:12" x14ac:dyDescent="0.35">
      <c r="A122" t="str">
        <f t="shared" si="1"/>
        <v>B-334-B-33(I)-GRUPO_ARENAS</v>
      </c>
      <c r="B122" t="s">
        <v>62</v>
      </c>
      <c r="C122" t="s">
        <v>38</v>
      </c>
      <c r="D122" t="s">
        <v>37</v>
      </c>
      <c r="E122">
        <v>0.378</v>
      </c>
      <c r="F122">
        <v>187070.2</v>
      </c>
      <c r="G122">
        <v>32453</v>
      </c>
      <c r="H122">
        <v>71.19</v>
      </c>
      <c r="I122">
        <v>152799</v>
      </c>
      <c r="J122">
        <v>81.680000000000007</v>
      </c>
      <c r="K122">
        <v>0.34</v>
      </c>
      <c r="L122">
        <v>63783</v>
      </c>
    </row>
    <row r="123" spans="1:12" x14ac:dyDescent="0.35">
      <c r="A123" t="str">
        <f t="shared" si="1"/>
        <v>B-334-B-333-TS</v>
      </c>
      <c r="B123" t="s">
        <v>62</v>
      </c>
      <c r="C123" t="s">
        <v>64</v>
      </c>
      <c r="D123" t="s">
        <v>20</v>
      </c>
      <c r="E123">
        <v>0.45600000000000002</v>
      </c>
      <c r="F123">
        <v>114315.1</v>
      </c>
      <c r="G123">
        <v>22087</v>
      </c>
      <c r="H123">
        <v>57.86</v>
      </c>
      <c r="I123">
        <v>79481</v>
      </c>
      <c r="J123">
        <v>69.53</v>
      </c>
      <c r="K123">
        <v>0.32</v>
      </c>
      <c r="L123">
        <v>47039</v>
      </c>
    </row>
    <row r="124" spans="1:12" x14ac:dyDescent="0.35">
      <c r="A124" t="str">
        <f t="shared" si="1"/>
        <v>B-334-B-407-TS</v>
      </c>
      <c r="B124" t="s">
        <v>62</v>
      </c>
      <c r="C124" t="s">
        <v>65</v>
      </c>
      <c r="D124" t="s">
        <v>20</v>
      </c>
      <c r="E124">
        <v>0.43</v>
      </c>
      <c r="F124">
        <v>69046.600000000006</v>
      </c>
      <c r="G124">
        <v>14951</v>
      </c>
      <c r="H124">
        <v>64.84</v>
      </c>
      <c r="I124">
        <v>61902</v>
      </c>
      <c r="J124">
        <v>89.65</v>
      </c>
      <c r="K124">
        <v>0.36</v>
      </c>
      <c r="L124">
        <v>26801</v>
      </c>
    </row>
    <row r="125" spans="1:12" x14ac:dyDescent="0.35">
      <c r="A125" t="str">
        <f t="shared" si="1"/>
        <v>B-334-B-407-TI</v>
      </c>
      <c r="B125" t="s">
        <v>62</v>
      </c>
      <c r="C125" t="s">
        <v>65</v>
      </c>
      <c r="D125" t="s">
        <v>18</v>
      </c>
      <c r="E125">
        <v>0.38300000000000001</v>
      </c>
      <c r="F125">
        <v>23625.8</v>
      </c>
      <c r="G125">
        <v>4201</v>
      </c>
      <c r="H125">
        <v>70.37</v>
      </c>
      <c r="I125">
        <v>19441</v>
      </c>
      <c r="J125">
        <v>82.29</v>
      </c>
      <c r="K125">
        <v>0.34</v>
      </c>
      <c r="L125">
        <v>8166</v>
      </c>
    </row>
    <row r="126" spans="1:12" x14ac:dyDescent="0.35">
      <c r="A126" t="str">
        <f t="shared" si="1"/>
        <v>B-334-B-407-GRUPO_ARENAS</v>
      </c>
      <c r="B126" t="s">
        <v>62</v>
      </c>
      <c r="C126" t="s">
        <v>65</v>
      </c>
      <c r="D126" t="s">
        <v>37</v>
      </c>
      <c r="E126">
        <v>0.41699999999999998</v>
      </c>
      <c r="F126">
        <v>169758.6</v>
      </c>
      <c r="G126">
        <v>23387</v>
      </c>
      <c r="H126">
        <v>56.53</v>
      </c>
      <c r="I126">
        <v>81860</v>
      </c>
      <c r="J126">
        <v>48.22</v>
      </c>
      <c r="K126">
        <v>0.27</v>
      </c>
      <c r="L126">
        <v>63944</v>
      </c>
    </row>
    <row r="127" spans="1:12" x14ac:dyDescent="0.35">
      <c r="A127" t="str">
        <f t="shared" si="1"/>
        <v>B-334-B-484-VIOLETA</v>
      </c>
      <c r="B127" t="s">
        <v>62</v>
      </c>
      <c r="C127" t="s">
        <v>66</v>
      </c>
      <c r="D127" t="s">
        <v>26</v>
      </c>
      <c r="E127">
        <v>0.52800000000000002</v>
      </c>
      <c r="F127">
        <v>4948.7</v>
      </c>
      <c r="G127">
        <v>304</v>
      </c>
      <c r="H127">
        <v>31.12</v>
      </c>
      <c r="I127">
        <v>676</v>
      </c>
      <c r="J127">
        <v>13.66</v>
      </c>
      <c r="K127">
        <v>0.12</v>
      </c>
      <c r="L127">
        <v>2245</v>
      </c>
    </row>
    <row r="128" spans="1:12" x14ac:dyDescent="0.35">
      <c r="A128" t="str">
        <f t="shared" si="1"/>
        <v>B-334-B-484-ROJO</v>
      </c>
      <c r="B128" t="s">
        <v>62</v>
      </c>
      <c r="C128" t="s">
        <v>66</v>
      </c>
      <c r="D128" t="s">
        <v>27</v>
      </c>
      <c r="E128">
        <v>0.56799999999999995</v>
      </c>
      <c r="F128">
        <v>7665.6</v>
      </c>
      <c r="G128">
        <v>212</v>
      </c>
      <c r="H128">
        <v>10.08</v>
      </c>
      <c r="I128">
        <v>470</v>
      </c>
      <c r="J128">
        <v>6.13</v>
      </c>
      <c r="K128">
        <v>0.05</v>
      </c>
      <c r="L128">
        <v>3736</v>
      </c>
    </row>
    <row r="129" spans="1:12" x14ac:dyDescent="0.35">
      <c r="A129" t="str">
        <f t="shared" si="1"/>
        <v>B-334-B-484-AZUL</v>
      </c>
      <c r="B129" t="s">
        <v>62</v>
      </c>
      <c r="C129" t="s">
        <v>66</v>
      </c>
      <c r="D129" t="s">
        <v>28</v>
      </c>
      <c r="E129">
        <v>0.53800000000000003</v>
      </c>
      <c r="F129">
        <v>4134</v>
      </c>
      <c r="G129">
        <v>221</v>
      </c>
      <c r="H129">
        <v>27.12</v>
      </c>
      <c r="I129">
        <v>489</v>
      </c>
      <c r="J129">
        <v>11.83</v>
      </c>
      <c r="K129">
        <v>0.1</v>
      </c>
      <c r="L129">
        <v>1908</v>
      </c>
    </row>
    <row r="130" spans="1:12" x14ac:dyDescent="0.35">
      <c r="A130" t="str">
        <f t="shared" si="1"/>
        <v>B-334-B-484-VERDE</v>
      </c>
      <c r="B130" t="s">
        <v>62</v>
      </c>
      <c r="C130" t="s">
        <v>66</v>
      </c>
      <c r="D130" t="s">
        <v>29</v>
      </c>
      <c r="E130">
        <v>0.57499999999999996</v>
      </c>
      <c r="F130">
        <v>18154.8</v>
      </c>
      <c r="G130">
        <v>397</v>
      </c>
      <c r="H130">
        <v>7.97</v>
      </c>
      <c r="I130">
        <v>880</v>
      </c>
      <c r="J130">
        <v>4.84</v>
      </c>
      <c r="K130">
        <v>0.04</v>
      </c>
      <c r="L130">
        <v>8953</v>
      </c>
    </row>
    <row r="131" spans="1:12" x14ac:dyDescent="0.35">
      <c r="A131" t="str">
        <f t="shared" ref="A131:A194" si="2">CONCATENATE(B131,"-",C131,"-",D131)</f>
        <v>B-334-B-484-TS</v>
      </c>
      <c r="B131" t="s">
        <v>62</v>
      </c>
      <c r="C131" t="s">
        <v>66</v>
      </c>
      <c r="D131" t="s">
        <v>20</v>
      </c>
      <c r="E131">
        <v>0.41399999999999998</v>
      </c>
      <c r="F131">
        <v>112971.2</v>
      </c>
      <c r="G131">
        <v>26137</v>
      </c>
      <c r="H131">
        <v>69.28</v>
      </c>
      <c r="I131">
        <v>118268</v>
      </c>
      <c r="J131">
        <v>104.69</v>
      </c>
      <c r="K131">
        <v>0.38</v>
      </c>
      <c r="L131">
        <v>42176</v>
      </c>
    </row>
    <row r="132" spans="1:12" x14ac:dyDescent="0.35">
      <c r="A132" t="str">
        <f t="shared" si="2"/>
        <v>B-334-B-484-TI</v>
      </c>
      <c r="B132" t="s">
        <v>62</v>
      </c>
      <c r="C132" t="s">
        <v>66</v>
      </c>
      <c r="D132" t="s">
        <v>18</v>
      </c>
      <c r="E132">
        <v>0.40500000000000003</v>
      </c>
      <c r="F132">
        <v>48489.599999999999</v>
      </c>
      <c r="G132">
        <v>7663</v>
      </c>
      <c r="H132">
        <v>62.53</v>
      </c>
      <c r="I132">
        <v>30306</v>
      </c>
      <c r="J132">
        <v>62.5</v>
      </c>
      <c r="K132">
        <v>0.3</v>
      </c>
      <c r="L132">
        <v>17720</v>
      </c>
    </row>
    <row r="133" spans="1:12" x14ac:dyDescent="0.35">
      <c r="A133" t="str">
        <f t="shared" si="2"/>
        <v>B-334-B-484-GRUPO_ARENAS</v>
      </c>
      <c r="B133" t="s">
        <v>62</v>
      </c>
      <c r="C133" t="s">
        <v>66</v>
      </c>
      <c r="D133" t="s">
        <v>37</v>
      </c>
      <c r="E133">
        <v>0.436</v>
      </c>
      <c r="F133">
        <v>175214.5</v>
      </c>
      <c r="G133">
        <v>21143</v>
      </c>
      <c r="H133">
        <v>49.52</v>
      </c>
      <c r="I133">
        <v>63699</v>
      </c>
      <c r="J133">
        <v>36.35</v>
      </c>
      <c r="K133">
        <v>0.23</v>
      </c>
      <c r="L133">
        <v>68994</v>
      </c>
    </row>
    <row r="134" spans="1:12" x14ac:dyDescent="0.35">
      <c r="A134" t="str">
        <f t="shared" si="2"/>
        <v>B-334-B-499-TS</v>
      </c>
      <c r="B134" t="s">
        <v>62</v>
      </c>
      <c r="C134" t="s">
        <v>43</v>
      </c>
      <c r="D134" t="s">
        <v>20</v>
      </c>
      <c r="E134">
        <v>0.44</v>
      </c>
      <c r="F134">
        <v>110495.9</v>
      </c>
      <c r="G134">
        <v>22916</v>
      </c>
      <c r="H134">
        <v>62.11</v>
      </c>
      <c r="I134">
        <v>89872</v>
      </c>
      <c r="J134">
        <v>81.34</v>
      </c>
      <c r="K134">
        <v>0.34</v>
      </c>
      <c r="L134">
        <v>43900</v>
      </c>
    </row>
    <row r="135" spans="1:12" x14ac:dyDescent="0.35">
      <c r="A135" t="str">
        <f t="shared" si="2"/>
        <v>B-334-B-499-GRUPO_ARENAS</v>
      </c>
      <c r="B135" t="s">
        <v>62</v>
      </c>
      <c r="C135" t="s">
        <v>43</v>
      </c>
      <c r="D135" t="s">
        <v>37</v>
      </c>
      <c r="E135">
        <v>0.39500000000000002</v>
      </c>
      <c r="F135">
        <v>117663.3</v>
      </c>
      <c r="G135">
        <v>18591</v>
      </c>
      <c r="H135">
        <v>64.84</v>
      </c>
      <c r="I135">
        <v>76967</v>
      </c>
      <c r="J135">
        <v>65.41</v>
      </c>
      <c r="K135">
        <v>0.31</v>
      </c>
      <c r="L135">
        <v>41940</v>
      </c>
    </row>
    <row r="136" spans="1:12" x14ac:dyDescent="0.35">
      <c r="A136" t="str">
        <f t="shared" si="2"/>
        <v>B-340-B-27-TI</v>
      </c>
      <c r="B136" t="s">
        <v>67</v>
      </c>
      <c r="C136" t="s">
        <v>36</v>
      </c>
      <c r="D136" t="s">
        <v>18</v>
      </c>
      <c r="E136">
        <v>0.374</v>
      </c>
      <c r="F136">
        <v>95288.6</v>
      </c>
      <c r="G136">
        <v>17746</v>
      </c>
      <c r="H136">
        <v>73.69</v>
      </c>
      <c r="I136">
        <v>88212</v>
      </c>
      <c r="J136">
        <v>92.57</v>
      </c>
      <c r="K136">
        <v>0.36</v>
      </c>
      <c r="L136">
        <v>32135</v>
      </c>
    </row>
    <row r="137" spans="1:12" x14ac:dyDescent="0.35">
      <c r="A137" t="str">
        <f t="shared" si="2"/>
        <v>B-340-B-27-GRUPO_ARENAS</v>
      </c>
      <c r="B137" t="s">
        <v>67</v>
      </c>
      <c r="C137" t="s">
        <v>36</v>
      </c>
      <c r="D137" t="s">
        <v>37</v>
      </c>
      <c r="E137">
        <v>0.40200000000000002</v>
      </c>
      <c r="F137">
        <v>199386.5</v>
      </c>
      <c r="G137">
        <v>30175</v>
      </c>
      <c r="H137">
        <v>62.1</v>
      </c>
      <c r="I137">
        <v>118337</v>
      </c>
      <c r="J137">
        <v>59.35</v>
      </c>
      <c r="K137">
        <v>0.28999999999999998</v>
      </c>
      <c r="L137">
        <v>72398</v>
      </c>
    </row>
    <row r="138" spans="1:12" x14ac:dyDescent="0.35">
      <c r="A138" t="str">
        <f t="shared" si="2"/>
        <v>B-340-B-0279-VIOLETA</v>
      </c>
      <c r="B138" t="s">
        <v>67</v>
      </c>
      <c r="C138" t="s">
        <v>68</v>
      </c>
      <c r="D138" t="s">
        <v>26</v>
      </c>
      <c r="E138">
        <v>0.52500000000000002</v>
      </c>
      <c r="F138">
        <v>7545.2</v>
      </c>
      <c r="G138">
        <v>486</v>
      </c>
      <c r="H138">
        <v>32.61</v>
      </c>
      <c r="I138">
        <v>1084</v>
      </c>
      <c r="J138">
        <v>14.36</v>
      </c>
      <c r="K138">
        <v>0.13</v>
      </c>
      <c r="L138">
        <v>3400</v>
      </c>
    </row>
    <row r="139" spans="1:12" x14ac:dyDescent="0.35">
      <c r="A139" t="str">
        <f t="shared" si="2"/>
        <v>B-340-B-0279-AZUL</v>
      </c>
      <c r="B139" t="s">
        <v>67</v>
      </c>
      <c r="C139" t="s">
        <v>68</v>
      </c>
      <c r="D139" t="s">
        <v>28</v>
      </c>
      <c r="E139">
        <v>0.49</v>
      </c>
      <c r="F139">
        <v>7378.3</v>
      </c>
      <c r="G139">
        <v>697</v>
      </c>
      <c r="H139">
        <v>47.84</v>
      </c>
      <c r="I139">
        <v>1742</v>
      </c>
      <c r="J139">
        <v>23.6</v>
      </c>
      <c r="K139">
        <v>0.18</v>
      </c>
      <c r="L139">
        <v>3103</v>
      </c>
    </row>
    <row r="140" spans="1:12" x14ac:dyDescent="0.35">
      <c r="A140" t="str">
        <f t="shared" si="2"/>
        <v>B-340-B-0279-VERDE</v>
      </c>
      <c r="B140" t="s">
        <v>67</v>
      </c>
      <c r="C140" t="s">
        <v>68</v>
      </c>
      <c r="D140" t="s">
        <v>29</v>
      </c>
      <c r="E140">
        <v>0.58399999999999996</v>
      </c>
      <c r="F140">
        <v>26264</v>
      </c>
      <c r="G140">
        <v>351</v>
      </c>
      <c r="H140">
        <v>4.87</v>
      </c>
      <c r="I140">
        <v>779</v>
      </c>
      <c r="J140">
        <v>2.96</v>
      </c>
      <c r="K140">
        <v>0.03</v>
      </c>
      <c r="L140">
        <v>13175</v>
      </c>
    </row>
    <row r="141" spans="1:12" x14ac:dyDescent="0.35">
      <c r="A141" t="str">
        <f t="shared" si="2"/>
        <v>B-340-B-31-VERDE</v>
      </c>
      <c r="B141" t="s">
        <v>67</v>
      </c>
      <c r="C141" t="s">
        <v>69</v>
      </c>
      <c r="D141" t="s">
        <v>29</v>
      </c>
      <c r="E141">
        <v>0.59199999999999997</v>
      </c>
      <c r="F141">
        <v>30749.8</v>
      </c>
      <c r="G141">
        <v>216</v>
      </c>
      <c r="H141">
        <v>2.56</v>
      </c>
      <c r="I141">
        <v>479</v>
      </c>
      <c r="J141">
        <v>1.56</v>
      </c>
      <c r="K141">
        <v>0.01</v>
      </c>
      <c r="L141">
        <v>15621</v>
      </c>
    </row>
    <row r="142" spans="1:12" x14ac:dyDescent="0.35">
      <c r="A142" t="str">
        <f t="shared" si="2"/>
        <v>B-340-B-31-TS</v>
      </c>
      <c r="B142" t="s">
        <v>67</v>
      </c>
      <c r="C142" t="s">
        <v>69</v>
      </c>
      <c r="D142" t="s">
        <v>20</v>
      </c>
      <c r="E142">
        <v>0.38200000000000001</v>
      </c>
      <c r="F142">
        <v>61104</v>
      </c>
      <c r="G142">
        <v>15865</v>
      </c>
      <c r="H142">
        <v>77.75</v>
      </c>
      <c r="I142">
        <v>87015</v>
      </c>
      <c r="J142">
        <v>142.4</v>
      </c>
      <c r="K142">
        <v>0.43</v>
      </c>
      <c r="L142">
        <v>21084</v>
      </c>
    </row>
    <row r="143" spans="1:12" x14ac:dyDescent="0.35">
      <c r="A143" t="str">
        <f t="shared" si="2"/>
        <v>B-340-B-31-TI</v>
      </c>
      <c r="B143" t="s">
        <v>67</v>
      </c>
      <c r="C143" t="s">
        <v>69</v>
      </c>
      <c r="D143" t="s">
        <v>18</v>
      </c>
      <c r="E143">
        <v>0.46300000000000002</v>
      </c>
      <c r="F143">
        <v>123473.60000000001</v>
      </c>
      <c r="G143">
        <v>12998</v>
      </c>
      <c r="H143">
        <v>41.66</v>
      </c>
      <c r="I143">
        <v>34104</v>
      </c>
      <c r="J143">
        <v>27.62</v>
      </c>
      <c r="K143">
        <v>0.2</v>
      </c>
      <c r="L143">
        <v>51637</v>
      </c>
    </row>
    <row r="144" spans="1:12" x14ac:dyDescent="0.35">
      <c r="A144" t="str">
        <f t="shared" si="2"/>
        <v>B-340-B-38-TI</v>
      </c>
      <c r="B144" t="s">
        <v>67</v>
      </c>
      <c r="C144" t="s">
        <v>70</v>
      </c>
      <c r="D144" t="s">
        <v>18</v>
      </c>
      <c r="E144">
        <v>0.42399999999999999</v>
      </c>
      <c r="F144">
        <v>38189.9</v>
      </c>
      <c r="G144">
        <v>5361</v>
      </c>
      <c r="H144">
        <v>55.54</v>
      </c>
      <c r="I144">
        <v>18370</v>
      </c>
      <c r="J144">
        <v>48.1</v>
      </c>
      <c r="K144">
        <v>0.27</v>
      </c>
      <c r="L144">
        <v>14631</v>
      </c>
    </row>
    <row r="145" spans="1:12" x14ac:dyDescent="0.35">
      <c r="A145" t="str">
        <f t="shared" si="2"/>
        <v>B-340-B-38-GRUPO_ARENAS</v>
      </c>
      <c r="B145" t="s">
        <v>67</v>
      </c>
      <c r="C145" t="s">
        <v>70</v>
      </c>
      <c r="D145" t="s">
        <v>37</v>
      </c>
      <c r="E145">
        <v>0.38500000000000001</v>
      </c>
      <c r="F145">
        <v>70387.399999999994</v>
      </c>
      <c r="G145">
        <v>11727</v>
      </c>
      <c r="H145">
        <v>68.37</v>
      </c>
      <c r="I145">
        <v>52099</v>
      </c>
      <c r="J145">
        <v>74.02</v>
      </c>
      <c r="K145">
        <v>0.32</v>
      </c>
      <c r="L145">
        <v>24483</v>
      </c>
    </row>
    <row r="146" spans="1:12" x14ac:dyDescent="0.35">
      <c r="A146" t="str">
        <f t="shared" si="2"/>
        <v>B-340-B-378-VERDE</v>
      </c>
      <c r="B146" t="s">
        <v>67</v>
      </c>
      <c r="C146" t="s">
        <v>71</v>
      </c>
      <c r="D146" t="s">
        <v>29</v>
      </c>
      <c r="E146">
        <v>0.57599999999999996</v>
      </c>
      <c r="F146">
        <v>19591.400000000001</v>
      </c>
      <c r="G146">
        <v>408</v>
      </c>
      <c r="H146">
        <v>7.59</v>
      </c>
      <c r="I146">
        <v>904</v>
      </c>
      <c r="J146">
        <v>4.6100000000000003</v>
      </c>
      <c r="K146">
        <v>0.04</v>
      </c>
      <c r="L146">
        <v>9682</v>
      </c>
    </row>
    <row r="147" spans="1:12" x14ac:dyDescent="0.35">
      <c r="A147" t="str">
        <f t="shared" si="2"/>
        <v>B-340-B-378-TI</v>
      </c>
      <c r="B147" t="s">
        <v>67</v>
      </c>
      <c r="C147" t="s">
        <v>71</v>
      </c>
      <c r="D147" t="s">
        <v>18</v>
      </c>
      <c r="E147">
        <v>0.41</v>
      </c>
      <c r="F147">
        <v>34973.9</v>
      </c>
      <c r="G147">
        <v>5365</v>
      </c>
      <c r="H147">
        <v>60.7</v>
      </c>
      <c r="I147">
        <v>20455</v>
      </c>
      <c r="J147">
        <v>58.49</v>
      </c>
      <c r="K147">
        <v>0.28999999999999998</v>
      </c>
      <c r="L147">
        <v>12943</v>
      </c>
    </row>
    <row r="148" spans="1:12" x14ac:dyDescent="0.35">
      <c r="A148" t="str">
        <f t="shared" si="2"/>
        <v>B-340-B-378-GRUPO_ARENAS</v>
      </c>
      <c r="B148" t="s">
        <v>67</v>
      </c>
      <c r="C148" t="s">
        <v>71</v>
      </c>
      <c r="D148" t="s">
        <v>37</v>
      </c>
      <c r="E148">
        <v>0.33100000000000002</v>
      </c>
      <c r="F148">
        <v>60480.5</v>
      </c>
      <c r="G148">
        <v>13029</v>
      </c>
      <c r="H148">
        <v>88.41</v>
      </c>
      <c r="I148">
        <v>132565</v>
      </c>
      <c r="J148">
        <v>219.19</v>
      </c>
      <c r="K148">
        <v>0.42</v>
      </c>
      <c r="L148">
        <v>18084</v>
      </c>
    </row>
    <row r="149" spans="1:12" x14ac:dyDescent="0.35">
      <c r="A149" t="str">
        <f t="shared" si="2"/>
        <v>B-340-B-384-TI</v>
      </c>
      <c r="B149" t="s">
        <v>67</v>
      </c>
      <c r="C149" t="s">
        <v>72</v>
      </c>
      <c r="D149" t="s">
        <v>18</v>
      </c>
      <c r="E149">
        <v>0.38400000000000001</v>
      </c>
      <c r="F149">
        <v>65444.7</v>
      </c>
      <c r="G149">
        <v>11563</v>
      </c>
      <c r="H149">
        <v>69.91</v>
      </c>
      <c r="I149">
        <v>53005</v>
      </c>
      <c r="J149">
        <v>80.989999999999995</v>
      </c>
      <c r="K149">
        <v>0.34</v>
      </c>
      <c r="L149">
        <v>22695</v>
      </c>
    </row>
    <row r="150" spans="1:12" x14ac:dyDescent="0.35">
      <c r="A150" t="str">
        <f t="shared" si="2"/>
        <v>B-340-B-384-GRUPO_ARENAS</v>
      </c>
      <c r="B150" t="s">
        <v>67</v>
      </c>
      <c r="C150" t="s">
        <v>72</v>
      </c>
      <c r="D150" t="s">
        <v>37</v>
      </c>
      <c r="E150">
        <v>0.47</v>
      </c>
      <c r="F150">
        <v>126962.8</v>
      </c>
      <c r="G150">
        <v>11506</v>
      </c>
      <c r="H150">
        <v>37.19</v>
      </c>
      <c r="I150">
        <v>28367</v>
      </c>
      <c r="J150">
        <v>22.34</v>
      </c>
      <c r="K150">
        <v>0.18</v>
      </c>
      <c r="L150">
        <v>53809</v>
      </c>
    </row>
    <row r="151" spans="1:12" x14ac:dyDescent="0.35">
      <c r="A151" t="str">
        <f t="shared" si="2"/>
        <v>B-340-B-470-TI</v>
      </c>
      <c r="B151" t="s">
        <v>67</v>
      </c>
      <c r="C151" t="s">
        <v>73</v>
      </c>
      <c r="D151" t="s">
        <v>18</v>
      </c>
      <c r="E151">
        <v>0.40400000000000003</v>
      </c>
      <c r="F151">
        <v>51343.8</v>
      </c>
      <c r="G151">
        <v>8142</v>
      </c>
      <c r="H151">
        <v>62.75</v>
      </c>
      <c r="I151">
        <v>32345</v>
      </c>
      <c r="J151">
        <v>63</v>
      </c>
      <c r="K151">
        <v>0.3</v>
      </c>
      <c r="L151">
        <v>18734</v>
      </c>
    </row>
    <row r="152" spans="1:12" x14ac:dyDescent="0.35">
      <c r="A152" t="str">
        <f t="shared" si="2"/>
        <v>B-340-B-470-GRUPO_ARENAS</v>
      </c>
      <c r="B152" t="s">
        <v>67</v>
      </c>
      <c r="C152" t="s">
        <v>73</v>
      </c>
      <c r="D152" t="s">
        <v>37</v>
      </c>
      <c r="E152">
        <v>0.45</v>
      </c>
      <c r="F152">
        <v>82889.600000000006</v>
      </c>
      <c r="G152">
        <v>8996</v>
      </c>
      <c r="H152">
        <v>44.54</v>
      </c>
      <c r="I152">
        <v>24718</v>
      </c>
      <c r="J152">
        <v>29.82</v>
      </c>
      <c r="K152">
        <v>0.21</v>
      </c>
      <c r="L152">
        <v>33645</v>
      </c>
    </row>
    <row r="153" spans="1:12" x14ac:dyDescent="0.35">
      <c r="A153" t="str">
        <f t="shared" si="2"/>
        <v>B-340-B-491-GRUPO_ARENAS</v>
      </c>
      <c r="B153" t="s">
        <v>67</v>
      </c>
      <c r="C153" t="s">
        <v>39</v>
      </c>
      <c r="D153" t="s">
        <v>37</v>
      </c>
      <c r="E153">
        <v>0.40100000000000002</v>
      </c>
      <c r="F153">
        <v>72000.899999999994</v>
      </c>
      <c r="G153">
        <v>10992</v>
      </c>
      <c r="H153">
        <v>62.65</v>
      </c>
      <c r="I153">
        <v>43573</v>
      </c>
      <c r="J153">
        <v>60.52</v>
      </c>
      <c r="K153">
        <v>0.3</v>
      </c>
      <c r="L153">
        <v>26049</v>
      </c>
    </row>
    <row r="154" spans="1:12" x14ac:dyDescent="0.35">
      <c r="A154" t="str">
        <f t="shared" si="2"/>
        <v>B-340-B-495-TI</v>
      </c>
      <c r="B154" t="s">
        <v>67</v>
      </c>
      <c r="C154" t="s">
        <v>74</v>
      </c>
      <c r="D154" t="s">
        <v>18</v>
      </c>
      <c r="E154">
        <v>0.44500000000000001</v>
      </c>
      <c r="F154">
        <v>110337.2</v>
      </c>
      <c r="G154">
        <v>13471</v>
      </c>
      <c r="H154">
        <v>48.31</v>
      </c>
      <c r="I154">
        <v>39627</v>
      </c>
      <c r="J154">
        <v>35.909999999999997</v>
      </c>
      <c r="K154">
        <v>0.23</v>
      </c>
      <c r="L154">
        <v>44287</v>
      </c>
    </row>
    <row r="155" spans="1:12" x14ac:dyDescent="0.35">
      <c r="A155" t="str">
        <f t="shared" si="2"/>
        <v>B-383-B-38-TI</v>
      </c>
      <c r="B155" t="s">
        <v>75</v>
      </c>
      <c r="C155" t="s">
        <v>70</v>
      </c>
      <c r="D155" t="s">
        <v>18</v>
      </c>
      <c r="E155">
        <v>0.46400000000000002</v>
      </c>
      <c r="F155">
        <v>68230.8</v>
      </c>
      <c r="G155">
        <v>7152</v>
      </c>
      <c r="H155">
        <v>41.48</v>
      </c>
      <c r="I155">
        <v>18715</v>
      </c>
      <c r="J155">
        <v>27.43</v>
      </c>
      <c r="K155">
        <v>0.2</v>
      </c>
      <c r="L155">
        <v>28565</v>
      </c>
    </row>
    <row r="156" spans="1:12" x14ac:dyDescent="0.35">
      <c r="A156" t="str">
        <f t="shared" si="2"/>
        <v>B-383-B-38-GRUPO_ARENAS</v>
      </c>
      <c r="B156" t="s">
        <v>75</v>
      </c>
      <c r="C156" t="s">
        <v>70</v>
      </c>
      <c r="D156" t="s">
        <v>37</v>
      </c>
      <c r="E156">
        <v>0.55900000000000005</v>
      </c>
      <c r="F156">
        <v>74214.2</v>
      </c>
      <c r="G156">
        <v>720</v>
      </c>
      <c r="H156">
        <v>3.98</v>
      </c>
      <c r="I156">
        <v>1440</v>
      </c>
      <c r="J156">
        <v>1.94</v>
      </c>
      <c r="K156">
        <v>0.02</v>
      </c>
      <c r="L156">
        <v>37459</v>
      </c>
    </row>
    <row r="157" spans="1:12" x14ac:dyDescent="0.35">
      <c r="A157" t="str">
        <f t="shared" si="2"/>
        <v>B-383-B-40-TS</v>
      </c>
      <c r="B157" t="s">
        <v>75</v>
      </c>
      <c r="C157" t="s">
        <v>19</v>
      </c>
      <c r="D157" t="s">
        <v>20</v>
      </c>
      <c r="E157">
        <v>0.53100000000000003</v>
      </c>
      <c r="F157">
        <v>90498</v>
      </c>
      <c r="G157">
        <v>11342</v>
      </c>
      <c r="H157">
        <v>37.53</v>
      </c>
      <c r="I157">
        <v>28087</v>
      </c>
      <c r="J157">
        <v>31.04</v>
      </c>
      <c r="K157">
        <v>0.21</v>
      </c>
      <c r="L157">
        <v>43382</v>
      </c>
    </row>
    <row r="158" spans="1:12" x14ac:dyDescent="0.35">
      <c r="A158" t="str">
        <f t="shared" si="2"/>
        <v>B-383-B-40-TI</v>
      </c>
      <c r="B158" t="s">
        <v>75</v>
      </c>
      <c r="C158" t="s">
        <v>19</v>
      </c>
      <c r="D158" t="s">
        <v>18</v>
      </c>
      <c r="E158">
        <v>0.438</v>
      </c>
      <c r="F158">
        <v>78404.5</v>
      </c>
      <c r="G158">
        <v>10058</v>
      </c>
      <c r="H158">
        <v>50.77</v>
      </c>
      <c r="I158">
        <v>31087</v>
      </c>
      <c r="J158">
        <v>39.65</v>
      </c>
      <c r="K158">
        <v>0.25</v>
      </c>
      <c r="L158">
        <v>30984</v>
      </c>
    </row>
    <row r="159" spans="1:12" x14ac:dyDescent="0.35">
      <c r="A159" t="str">
        <f t="shared" si="2"/>
        <v>B-383-B-40-GRUPO_ARENAS</v>
      </c>
      <c r="B159" t="s">
        <v>75</v>
      </c>
      <c r="C159" t="s">
        <v>19</v>
      </c>
      <c r="D159" t="s">
        <v>37</v>
      </c>
      <c r="E159">
        <v>0.434</v>
      </c>
      <c r="F159">
        <v>46321.7</v>
      </c>
      <c r="G159">
        <v>5676</v>
      </c>
      <c r="H159">
        <v>50.29</v>
      </c>
      <c r="I159">
        <v>17372</v>
      </c>
      <c r="J159">
        <v>37.5</v>
      </c>
      <c r="K159">
        <v>0.24</v>
      </c>
      <c r="L159">
        <v>18153</v>
      </c>
    </row>
    <row r="160" spans="1:12" x14ac:dyDescent="0.35">
      <c r="A160" t="str">
        <f t="shared" si="2"/>
        <v>B-383-B-41-GRUPO_ARENAS</v>
      </c>
      <c r="B160" t="s">
        <v>75</v>
      </c>
      <c r="C160" t="s">
        <v>76</v>
      </c>
      <c r="D160" t="s">
        <v>37</v>
      </c>
      <c r="E160">
        <v>0.434</v>
      </c>
      <c r="F160">
        <v>161644.29999999999</v>
      </c>
      <c r="G160">
        <v>19870</v>
      </c>
      <c r="H160">
        <v>50.44</v>
      </c>
      <c r="I160">
        <v>61001</v>
      </c>
      <c r="J160">
        <v>37.74</v>
      </c>
      <c r="K160">
        <v>0.24</v>
      </c>
      <c r="L160">
        <v>63287</v>
      </c>
    </row>
    <row r="161" spans="1:12" x14ac:dyDescent="0.35">
      <c r="A161" t="str">
        <f t="shared" si="2"/>
        <v>B-383-B-462-TS</v>
      </c>
      <c r="B161" t="s">
        <v>75</v>
      </c>
      <c r="C161" t="s">
        <v>23</v>
      </c>
      <c r="D161" t="s">
        <v>20</v>
      </c>
      <c r="E161">
        <v>0.52900000000000003</v>
      </c>
      <c r="F161">
        <v>75813.2</v>
      </c>
      <c r="G161">
        <v>9644</v>
      </c>
      <c r="H161">
        <v>38.1</v>
      </c>
      <c r="I161">
        <v>24061</v>
      </c>
      <c r="J161">
        <v>31.74</v>
      </c>
      <c r="K161">
        <v>0.21</v>
      </c>
      <c r="L161">
        <v>36199</v>
      </c>
    </row>
    <row r="162" spans="1:12" x14ac:dyDescent="0.35">
      <c r="A162" t="str">
        <f t="shared" si="2"/>
        <v>B-383-B-462-GRUPO_ARENAS</v>
      </c>
      <c r="B162" t="s">
        <v>75</v>
      </c>
      <c r="C162" t="s">
        <v>23</v>
      </c>
      <c r="D162" t="s">
        <v>37</v>
      </c>
      <c r="E162">
        <v>0.41499999999999998</v>
      </c>
      <c r="F162">
        <v>72473.5</v>
      </c>
      <c r="G162">
        <v>10160</v>
      </c>
      <c r="H162">
        <v>57.53</v>
      </c>
      <c r="I162">
        <v>36312</v>
      </c>
      <c r="J162">
        <v>50.1</v>
      </c>
      <c r="K162">
        <v>0.27</v>
      </c>
      <c r="L162">
        <v>27124</v>
      </c>
    </row>
    <row r="163" spans="1:12" x14ac:dyDescent="0.35">
      <c r="A163" t="str">
        <f t="shared" si="2"/>
        <v>B-383-B-495-TI</v>
      </c>
      <c r="B163" t="s">
        <v>75</v>
      </c>
      <c r="C163" t="s">
        <v>74</v>
      </c>
      <c r="D163" t="s">
        <v>18</v>
      </c>
      <c r="E163">
        <v>0.43</v>
      </c>
      <c r="F163">
        <v>85289.1</v>
      </c>
      <c r="G163">
        <v>11557</v>
      </c>
      <c r="H163">
        <v>53.62</v>
      </c>
      <c r="I163">
        <v>37976</v>
      </c>
      <c r="J163">
        <v>44.53</v>
      </c>
      <c r="K163">
        <v>0.26</v>
      </c>
      <c r="L163">
        <v>33089</v>
      </c>
    </row>
    <row r="164" spans="1:12" x14ac:dyDescent="0.35">
      <c r="A164" t="str">
        <f t="shared" si="2"/>
        <v>B-383-B-495-GRUPO_ARENAS</v>
      </c>
      <c r="B164" t="s">
        <v>75</v>
      </c>
      <c r="C164" t="s">
        <v>74</v>
      </c>
      <c r="D164" t="s">
        <v>37</v>
      </c>
      <c r="E164">
        <v>0.51</v>
      </c>
      <c r="F164">
        <v>147775.5</v>
      </c>
      <c r="G164">
        <v>7970</v>
      </c>
      <c r="H164">
        <v>22.13</v>
      </c>
      <c r="I164">
        <v>16967</v>
      </c>
      <c r="J164">
        <v>11.48</v>
      </c>
      <c r="K164">
        <v>0.1</v>
      </c>
      <c r="L164">
        <v>68051</v>
      </c>
    </row>
    <row r="165" spans="1:12" x14ac:dyDescent="0.35">
      <c r="A165" t="str">
        <f t="shared" si="2"/>
        <v>B-383-BBB.x-1-TI</v>
      </c>
      <c r="B165" t="s">
        <v>75</v>
      </c>
      <c r="C165" t="s">
        <v>77</v>
      </c>
      <c r="D165" t="s">
        <v>18</v>
      </c>
      <c r="E165">
        <v>0.44900000000000001</v>
      </c>
      <c r="F165">
        <v>48988.9</v>
      </c>
      <c r="G165">
        <v>5790</v>
      </c>
      <c r="H165">
        <v>46.77</v>
      </c>
      <c r="I165">
        <v>16545</v>
      </c>
      <c r="J165">
        <v>33.770000000000003</v>
      </c>
      <c r="K165">
        <v>0.23</v>
      </c>
      <c r="L165">
        <v>19854</v>
      </c>
    </row>
    <row r="166" spans="1:12" x14ac:dyDescent="0.35">
      <c r="A166" t="str">
        <f t="shared" si="2"/>
        <v>B-383-BBB.x-1-GRUPO_ARENAS</v>
      </c>
      <c r="B166" t="s">
        <v>75</v>
      </c>
      <c r="C166" t="s">
        <v>77</v>
      </c>
      <c r="D166" t="s">
        <v>37</v>
      </c>
      <c r="E166">
        <v>0.46600000000000003</v>
      </c>
      <c r="F166">
        <v>58091</v>
      </c>
      <c r="G166">
        <v>5451</v>
      </c>
      <c r="H166">
        <v>38.51</v>
      </c>
      <c r="I166">
        <v>13673</v>
      </c>
      <c r="J166">
        <v>23.54</v>
      </c>
      <c r="K166">
        <v>0.18</v>
      </c>
      <c r="L166">
        <v>24434</v>
      </c>
    </row>
    <row r="167" spans="1:12" x14ac:dyDescent="0.35">
      <c r="A167" t="str">
        <f t="shared" si="2"/>
        <v>B-389-B-31-TI</v>
      </c>
      <c r="B167" t="s">
        <v>78</v>
      </c>
      <c r="C167" t="s">
        <v>69</v>
      </c>
      <c r="D167" t="s">
        <v>18</v>
      </c>
      <c r="E167">
        <v>0.46700000000000003</v>
      </c>
      <c r="F167">
        <v>123406.9</v>
      </c>
      <c r="G167">
        <v>12555</v>
      </c>
      <c r="H167">
        <v>40.26</v>
      </c>
      <c r="I167">
        <v>32270</v>
      </c>
      <c r="J167">
        <v>26.15</v>
      </c>
      <c r="K167">
        <v>0.19</v>
      </c>
      <c r="L167">
        <v>52045</v>
      </c>
    </row>
    <row r="168" spans="1:12" x14ac:dyDescent="0.35">
      <c r="A168" t="str">
        <f t="shared" si="2"/>
        <v>B-389-B-386-TI</v>
      </c>
      <c r="B168" t="s">
        <v>78</v>
      </c>
      <c r="C168" t="s">
        <v>79</v>
      </c>
      <c r="D168" t="s">
        <v>18</v>
      </c>
      <c r="E168">
        <v>0.41199999999999998</v>
      </c>
      <c r="F168">
        <v>131652.1</v>
      </c>
      <c r="G168">
        <v>19925</v>
      </c>
      <c r="H168">
        <v>59.89</v>
      </c>
      <c r="I168">
        <v>74743</v>
      </c>
      <c r="J168">
        <v>56.77</v>
      </c>
      <c r="K168">
        <v>0.28999999999999998</v>
      </c>
      <c r="L168">
        <v>48991</v>
      </c>
    </row>
    <row r="169" spans="1:12" x14ac:dyDescent="0.35">
      <c r="A169" t="str">
        <f t="shared" si="2"/>
        <v>B-389-B-386-GRUPO_ARENAS</v>
      </c>
      <c r="B169" t="s">
        <v>78</v>
      </c>
      <c r="C169" t="s">
        <v>79</v>
      </c>
      <c r="D169" t="s">
        <v>37</v>
      </c>
      <c r="E169">
        <v>0.40400000000000003</v>
      </c>
      <c r="F169">
        <v>73024.800000000003</v>
      </c>
      <c r="G169">
        <v>10939</v>
      </c>
      <c r="H169">
        <v>61.47</v>
      </c>
      <c r="I169">
        <v>42363</v>
      </c>
      <c r="J169">
        <v>58.01</v>
      </c>
      <c r="K169">
        <v>0.28999999999999998</v>
      </c>
      <c r="L169">
        <v>26628</v>
      </c>
    </row>
    <row r="170" spans="1:12" x14ac:dyDescent="0.35">
      <c r="A170" t="str">
        <f t="shared" si="2"/>
        <v>B-389-B-393-TS</v>
      </c>
      <c r="B170" t="s">
        <v>78</v>
      </c>
      <c r="C170" t="s">
        <v>80</v>
      </c>
      <c r="D170" t="s">
        <v>20</v>
      </c>
      <c r="E170">
        <v>0.45900000000000002</v>
      </c>
      <c r="F170">
        <v>150442</v>
      </c>
      <c r="G170">
        <v>28594</v>
      </c>
      <c r="H170">
        <v>56.92</v>
      </c>
      <c r="I170">
        <v>100898</v>
      </c>
      <c r="J170">
        <v>67.069999999999993</v>
      </c>
      <c r="K170">
        <v>0.31</v>
      </c>
      <c r="L170">
        <v>62377</v>
      </c>
    </row>
    <row r="171" spans="1:12" x14ac:dyDescent="0.35">
      <c r="A171" t="str">
        <f t="shared" si="2"/>
        <v>B-389-B-491-GRUPO_ARENAS</v>
      </c>
      <c r="B171" t="s">
        <v>78</v>
      </c>
      <c r="C171" t="s">
        <v>39</v>
      </c>
      <c r="D171" t="s">
        <v>37</v>
      </c>
      <c r="E171">
        <v>0.441</v>
      </c>
      <c r="F171">
        <v>99267.3</v>
      </c>
      <c r="G171">
        <v>11518</v>
      </c>
      <c r="H171">
        <v>47.62</v>
      </c>
      <c r="I171">
        <v>33437</v>
      </c>
      <c r="J171">
        <v>33.68</v>
      </c>
      <c r="K171">
        <v>0.23</v>
      </c>
      <c r="L171">
        <v>39549</v>
      </c>
    </row>
    <row r="172" spans="1:12" x14ac:dyDescent="0.35">
      <c r="A172" t="str">
        <f t="shared" si="2"/>
        <v>B-397-B-329-PORFIRITA</v>
      </c>
      <c r="B172" t="s">
        <v>81</v>
      </c>
      <c r="C172" t="s">
        <v>61</v>
      </c>
      <c r="D172" t="s">
        <v>14</v>
      </c>
      <c r="E172">
        <v>0.45300000000000001</v>
      </c>
      <c r="F172">
        <v>187792.2</v>
      </c>
      <c r="G172">
        <v>16423</v>
      </c>
      <c r="H172">
        <v>38.76</v>
      </c>
      <c r="I172">
        <v>253904</v>
      </c>
      <c r="J172">
        <v>135.19999999999999</v>
      </c>
      <c r="K172">
        <v>0.18</v>
      </c>
      <c r="L172">
        <v>76795</v>
      </c>
    </row>
    <row r="173" spans="1:12" x14ac:dyDescent="0.35">
      <c r="A173" t="str">
        <f t="shared" si="2"/>
        <v>B-397-B-329-TS</v>
      </c>
      <c r="B173" t="s">
        <v>81</v>
      </c>
      <c r="C173" t="s">
        <v>61</v>
      </c>
      <c r="D173" t="s">
        <v>20</v>
      </c>
      <c r="E173">
        <v>0.4</v>
      </c>
      <c r="F173">
        <v>525652.30000000005</v>
      </c>
      <c r="G173">
        <v>128092</v>
      </c>
      <c r="H173">
        <v>72.97</v>
      </c>
      <c r="I173">
        <v>626602</v>
      </c>
      <c r="J173">
        <v>119.2</v>
      </c>
      <c r="K173">
        <v>0.4</v>
      </c>
      <c r="L173">
        <v>189766</v>
      </c>
    </row>
    <row r="174" spans="1:12" x14ac:dyDescent="0.35">
      <c r="A174" t="str">
        <f t="shared" si="2"/>
        <v>B-397-B-463-PORFIRITA</v>
      </c>
      <c r="B174" t="s">
        <v>81</v>
      </c>
      <c r="C174" t="s">
        <v>82</v>
      </c>
      <c r="D174" t="s">
        <v>14</v>
      </c>
      <c r="E174">
        <v>0.32700000000000001</v>
      </c>
      <c r="F174">
        <v>168869.9</v>
      </c>
      <c r="G174">
        <v>34000</v>
      </c>
      <c r="H174">
        <v>89.23</v>
      </c>
      <c r="I174">
        <v>719600</v>
      </c>
      <c r="J174">
        <v>426.13</v>
      </c>
      <c r="K174">
        <v>0.41</v>
      </c>
      <c r="L174">
        <v>49825</v>
      </c>
    </row>
    <row r="175" spans="1:12" x14ac:dyDescent="0.35">
      <c r="A175" t="str">
        <f t="shared" si="2"/>
        <v>B-397-B-463-TS</v>
      </c>
      <c r="B175" t="s">
        <v>81</v>
      </c>
      <c r="C175" t="s">
        <v>82</v>
      </c>
      <c r="D175" t="s">
        <v>20</v>
      </c>
      <c r="E175">
        <v>0.38400000000000001</v>
      </c>
      <c r="F175">
        <v>469573.8</v>
      </c>
      <c r="G175">
        <v>121245</v>
      </c>
      <c r="H175">
        <v>77.319999999999993</v>
      </c>
      <c r="I175">
        <v>657548</v>
      </c>
      <c r="J175">
        <v>140.03</v>
      </c>
      <c r="K175">
        <v>0.43</v>
      </c>
      <c r="L175">
        <v>162703</v>
      </c>
    </row>
    <row r="176" spans="1:12" x14ac:dyDescent="0.35">
      <c r="A176" t="str">
        <f t="shared" si="2"/>
        <v>B-405-B-386-TI</v>
      </c>
      <c r="B176" t="s">
        <v>83</v>
      </c>
      <c r="C176" t="s">
        <v>79</v>
      </c>
      <c r="D176" t="s">
        <v>18</v>
      </c>
      <c r="E176">
        <v>0.46600000000000003</v>
      </c>
      <c r="F176">
        <v>45588.1</v>
      </c>
      <c r="G176">
        <v>4695</v>
      </c>
      <c r="H176">
        <v>40.75</v>
      </c>
      <c r="I176">
        <v>12154</v>
      </c>
      <c r="J176">
        <v>26.66</v>
      </c>
      <c r="K176">
        <v>0.2</v>
      </c>
      <c r="L176">
        <v>19169</v>
      </c>
    </row>
    <row r="177" spans="1:12" x14ac:dyDescent="0.35">
      <c r="A177" t="str">
        <f t="shared" si="2"/>
        <v>B-405-B-386-GRUPO_ARENAS</v>
      </c>
      <c r="B177" t="s">
        <v>83</v>
      </c>
      <c r="C177" t="s">
        <v>79</v>
      </c>
      <c r="D177" t="s">
        <v>37</v>
      </c>
      <c r="E177">
        <v>0.38600000000000001</v>
      </c>
      <c r="F177">
        <v>104918.7</v>
      </c>
      <c r="G177">
        <v>17380</v>
      </c>
      <c r="H177">
        <v>67.98</v>
      </c>
      <c r="I177">
        <v>76600</v>
      </c>
      <c r="J177">
        <v>73.010000000000005</v>
      </c>
      <c r="K177">
        <v>0.32</v>
      </c>
      <c r="L177">
        <v>36594</v>
      </c>
    </row>
    <row r="178" spans="1:12" x14ac:dyDescent="0.35">
      <c r="A178" t="str">
        <f t="shared" si="2"/>
        <v>B-405-B-393-TS</v>
      </c>
      <c r="B178" t="s">
        <v>83</v>
      </c>
      <c r="C178" t="s">
        <v>80</v>
      </c>
      <c r="D178" t="s">
        <v>20</v>
      </c>
      <c r="E178">
        <v>0.60199999999999998</v>
      </c>
      <c r="F178">
        <v>126922.3</v>
      </c>
      <c r="G178">
        <v>7809</v>
      </c>
      <c r="H178">
        <v>18.420000000000002</v>
      </c>
      <c r="I178">
        <v>16258</v>
      </c>
      <c r="J178">
        <v>12.81</v>
      </c>
      <c r="K178">
        <v>0.1</v>
      </c>
      <c r="L178">
        <v>68940</v>
      </c>
    </row>
    <row r="179" spans="1:12" x14ac:dyDescent="0.35">
      <c r="A179" t="str">
        <f t="shared" si="2"/>
        <v>B-405-B-393-TI</v>
      </c>
      <c r="B179" t="s">
        <v>83</v>
      </c>
      <c r="C179" t="s">
        <v>80</v>
      </c>
      <c r="D179" t="s">
        <v>18</v>
      </c>
      <c r="E179">
        <v>0.373</v>
      </c>
      <c r="F179">
        <v>74667.399999999994</v>
      </c>
      <c r="G179">
        <v>13928</v>
      </c>
      <c r="H179">
        <v>73.81</v>
      </c>
      <c r="I179">
        <v>69418</v>
      </c>
      <c r="J179">
        <v>92.97</v>
      </c>
      <c r="K179">
        <v>0.36</v>
      </c>
      <c r="L179">
        <v>25158</v>
      </c>
    </row>
    <row r="180" spans="1:12" x14ac:dyDescent="0.35">
      <c r="A180" t="str">
        <f t="shared" si="2"/>
        <v>B-405-B-404-TI</v>
      </c>
      <c r="B180" t="s">
        <v>83</v>
      </c>
      <c r="C180" t="s">
        <v>84</v>
      </c>
      <c r="D180" t="s">
        <v>18</v>
      </c>
      <c r="E180">
        <v>0.47599999999999998</v>
      </c>
      <c r="F180">
        <v>105889.4</v>
      </c>
      <c r="G180">
        <v>9922</v>
      </c>
      <c r="H180">
        <v>37.08</v>
      </c>
      <c r="I180">
        <v>24429</v>
      </c>
      <c r="J180">
        <v>23.07</v>
      </c>
      <c r="K180">
        <v>0.18</v>
      </c>
      <c r="L180">
        <v>45507</v>
      </c>
    </row>
    <row r="181" spans="1:12" x14ac:dyDescent="0.35">
      <c r="A181" t="str">
        <f t="shared" si="2"/>
        <v>B-411-B-422-PORFIRITA</v>
      </c>
      <c r="B181" t="s">
        <v>85</v>
      </c>
      <c r="C181" t="s">
        <v>15</v>
      </c>
      <c r="D181" t="s">
        <v>14</v>
      </c>
      <c r="E181">
        <v>0.39</v>
      </c>
      <c r="F181">
        <v>300293.59999999998</v>
      </c>
      <c r="G181">
        <v>43372</v>
      </c>
      <c r="H181">
        <v>64.010000000000005</v>
      </c>
      <c r="I181">
        <v>666299</v>
      </c>
      <c r="J181">
        <v>221.88</v>
      </c>
      <c r="K181">
        <v>0.28999999999999998</v>
      </c>
      <c r="L181">
        <v>105691</v>
      </c>
    </row>
    <row r="182" spans="1:12" x14ac:dyDescent="0.35">
      <c r="A182" t="str">
        <f t="shared" si="2"/>
        <v>B-411-B-463-ROJO</v>
      </c>
      <c r="B182" t="s">
        <v>85</v>
      </c>
      <c r="C182" t="s">
        <v>82</v>
      </c>
      <c r="D182" t="s">
        <v>27</v>
      </c>
      <c r="E182">
        <v>0.59399999999999997</v>
      </c>
      <c r="F182">
        <v>91877.5</v>
      </c>
      <c r="G182">
        <v>435</v>
      </c>
      <c r="H182">
        <v>1.72</v>
      </c>
      <c r="I182">
        <v>963</v>
      </c>
      <c r="J182">
        <v>1.05</v>
      </c>
      <c r="K182">
        <v>0.01</v>
      </c>
      <c r="L182">
        <v>46884</v>
      </c>
    </row>
    <row r="183" spans="1:12" x14ac:dyDescent="0.35">
      <c r="A183" t="str">
        <f t="shared" si="2"/>
        <v>B-411-B-463-AZUL</v>
      </c>
      <c r="B183" t="s">
        <v>85</v>
      </c>
      <c r="C183" t="s">
        <v>82</v>
      </c>
      <c r="D183" t="s">
        <v>28</v>
      </c>
      <c r="E183">
        <v>0.6</v>
      </c>
      <c r="F183">
        <v>117131.4</v>
      </c>
      <c r="G183">
        <v>39</v>
      </c>
      <c r="H183">
        <v>0.17</v>
      </c>
      <c r="I183">
        <v>86</v>
      </c>
      <c r="J183">
        <v>7.0000000000000007E-2</v>
      </c>
      <c r="K183">
        <v>0</v>
      </c>
      <c r="L183">
        <v>60286</v>
      </c>
    </row>
    <row r="184" spans="1:12" x14ac:dyDescent="0.35">
      <c r="A184" t="str">
        <f t="shared" si="2"/>
        <v>B-411-B-463-VERDE</v>
      </c>
      <c r="B184" t="s">
        <v>85</v>
      </c>
      <c r="C184" t="s">
        <v>82</v>
      </c>
      <c r="D184" t="s">
        <v>29</v>
      </c>
      <c r="E184">
        <v>0.59699999999999998</v>
      </c>
      <c r="F184">
        <v>136336.20000000001</v>
      </c>
      <c r="G184">
        <v>316</v>
      </c>
      <c r="H184">
        <v>0.84</v>
      </c>
      <c r="I184">
        <v>701</v>
      </c>
      <c r="J184">
        <v>0.51</v>
      </c>
      <c r="K184">
        <v>0</v>
      </c>
      <c r="L184">
        <v>69900</v>
      </c>
    </row>
    <row r="185" spans="1:12" x14ac:dyDescent="0.35">
      <c r="A185" t="str">
        <f t="shared" si="2"/>
        <v>B-411-B-492-VIOLETA</v>
      </c>
      <c r="B185" t="s">
        <v>85</v>
      </c>
      <c r="C185" t="s">
        <v>86</v>
      </c>
      <c r="D185" t="s">
        <v>26</v>
      </c>
      <c r="E185">
        <v>0.54800000000000004</v>
      </c>
      <c r="F185">
        <v>40430.5</v>
      </c>
      <c r="G185">
        <v>1805</v>
      </c>
      <c r="H185">
        <v>22.61</v>
      </c>
      <c r="I185">
        <v>3981</v>
      </c>
      <c r="J185">
        <v>9.85</v>
      </c>
      <c r="K185">
        <v>0.09</v>
      </c>
      <c r="L185">
        <v>19018</v>
      </c>
    </row>
    <row r="186" spans="1:12" x14ac:dyDescent="0.35">
      <c r="A186" t="str">
        <f t="shared" si="2"/>
        <v>B-411-B-492-ROJO</v>
      </c>
      <c r="B186" t="s">
        <v>85</v>
      </c>
      <c r="C186" t="s">
        <v>86</v>
      </c>
      <c r="D186" t="s">
        <v>27</v>
      </c>
      <c r="E186">
        <v>0.58199999999999996</v>
      </c>
      <c r="F186">
        <v>46462.1</v>
      </c>
      <c r="G186">
        <v>726</v>
      </c>
      <c r="H186">
        <v>5.69</v>
      </c>
      <c r="I186">
        <v>1609</v>
      </c>
      <c r="J186">
        <v>3.46</v>
      </c>
      <c r="K186">
        <v>0.03</v>
      </c>
      <c r="L186">
        <v>23203</v>
      </c>
    </row>
    <row r="187" spans="1:12" x14ac:dyDescent="0.35">
      <c r="A187" t="str">
        <f t="shared" si="2"/>
        <v>B-411-B-492-AZUL</v>
      </c>
      <c r="B187" t="s">
        <v>85</v>
      </c>
      <c r="C187" t="s">
        <v>86</v>
      </c>
      <c r="D187" t="s">
        <v>28</v>
      </c>
      <c r="E187">
        <v>0.59199999999999997</v>
      </c>
      <c r="F187">
        <v>58209.7</v>
      </c>
      <c r="G187">
        <v>403</v>
      </c>
      <c r="H187">
        <v>3.51</v>
      </c>
      <c r="I187">
        <v>894</v>
      </c>
      <c r="J187">
        <v>1.54</v>
      </c>
      <c r="K187">
        <v>0.01</v>
      </c>
      <c r="L187">
        <v>29576</v>
      </c>
    </row>
    <row r="188" spans="1:12" x14ac:dyDescent="0.35">
      <c r="A188" t="str">
        <f t="shared" si="2"/>
        <v>B-411-B-492-VERDE</v>
      </c>
      <c r="B188" t="s">
        <v>85</v>
      </c>
      <c r="C188" t="s">
        <v>86</v>
      </c>
      <c r="D188" t="s">
        <v>29</v>
      </c>
      <c r="E188">
        <v>0.57299999999999995</v>
      </c>
      <c r="F188">
        <v>103256.6</v>
      </c>
      <c r="G188">
        <v>2382</v>
      </c>
      <c r="H188">
        <v>8.4</v>
      </c>
      <c r="I188">
        <v>5274</v>
      </c>
      <c r="J188">
        <v>5.1100000000000003</v>
      </c>
      <c r="K188">
        <v>0.04</v>
      </c>
      <c r="L188">
        <v>50798</v>
      </c>
    </row>
    <row r="189" spans="1:12" x14ac:dyDescent="0.35">
      <c r="A189" t="str">
        <f t="shared" si="2"/>
        <v>B-411-B-522-PORFIRITA</v>
      </c>
      <c r="B189" t="s">
        <v>85</v>
      </c>
      <c r="C189" t="s">
        <v>87</v>
      </c>
      <c r="D189" t="s">
        <v>14</v>
      </c>
      <c r="E189">
        <v>0.4</v>
      </c>
      <c r="F189">
        <v>188449.9</v>
      </c>
      <c r="G189">
        <v>25512</v>
      </c>
      <c r="H189">
        <v>60</v>
      </c>
      <c r="I189">
        <v>389236</v>
      </c>
      <c r="J189">
        <v>206.55</v>
      </c>
      <c r="K189">
        <v>0.27</v>
      </c>
      <c r="L189">
        <v>68032</v>
      </c>
    </row>
    <row r="190" spans="1:12" x14ac:dyDescent="0.35">
      <c r="A190" t="str">
        <f t="shared" si="2"/>
        <v>B-433-B-251-VIOLETA</v>
      </c>
      <c r="B190" t="s">
        <v>88</v>
      </c>
      <c r="C190" t="s">
        <v>50</v>
      </c>
      <c r="D190" t="s">
        <v>26</v>
      </c>
      <c r="E190">
        <v>0.503</v>
      </c>
      <c r="F190">
        <v>10875.3</v>
      </c>
      <c r="G190">
        <v>907</v>
      </c>
      <c r="H190">
        <v>42.25</v>
      </c>
      <c r="I190">
        <v>2134</v>
      </c>
      <c r="J190">
        <v>19.62</v>
      </c>
      <c r="K190">
        <v>0.16</v>
      </c>
      <c r="L190">
        <v>4694</v>
      </c>
    </row>
    <row r="191" spans="1:12" x14ac:dyDescent="0.35">
      <c r="A191" t="str">
        <f t="shared" si="2"/>
        <v>B-433-B-251-ROJO</v>
      </c>
      <c r="B191" t="s">
        <v>88</v>
      </c>
      <c r="C191" t="s">
        <v>50</v>
      </c>
      <c r="D191" t="s">
        <v>27</v>
      </c>
      <c r="E191">
        <v>0.44500000000000001</v>
      </c>
      <c r="F191">
        <v>8028.1</v>
      </c>
      <c r="G191">
        <v>1065</v>
      </c>
      <c r="H191">
        <v>48.31</v>
      </c>
      <c r="I191">
        <v>2679</v>
      </c>
      <c r="J191">
        <v>33.369999999999997</v>
      </c>
      <c r="K191">
        <v>0.26</v>
      </c>
      <c r="L191">
        <v>3069</v>
      </c>
    </row>
    <row r="192" spans="1:12" x14ac:dyDescent="0.35">
      <c r="A192" t="str">
        <f t="shared" si="2"/>
        <v>B-433-B-251-AZUL</v>
      </c>
      <c r="B192" t="s">
        <v>88</v>
      </c>
      <c r="C192" t="s">
        <v>50</v>
      </c>
      <c r="D192" t="s">
        <v>28</v>
      </c>
      <c r="E192">
        <v>0.52900000000000003</v>
      </c>
      <c r="F192">
        <v>6439.4</v>
      </c>
      <c r="G192">
        <v>395</v>
      </c>
      <c r="H192">
        <v>31.08</v>
      </c>
      <c r="I192">
        <v>878</v>
      </c>
      <c r="J192">
        <v>13.64</v>
      </c>
      <c r="K192">
        <v>0.12</v>
      </c>
      <c r="L192">
        <v>2921</v>
      </c>
    </row>
    <row r="193" spans="1:12" x14ac:dyDescent="0.35">
      <c r="A193" t="str">
        <f t="shared" si="2"/>
        <v>B-433-B-251-VERDE</v>
      </c>
      <c r="B193" t="s">
        <v>88</v>
      </c>
      <c r="C193" t="s">
        <v>50</v>
      </c>
      <c r="D193" t="s">
        <v>29</v>
      </c>
      <c r="E193">
        <v>0.51400000000000001</v>
      </c>
      <c r="F193">
        <v>13738.1</v>
      </c>
      <c r="G193">
        <v>1010</v>
      </c>
      <c r="H193">
        <v>26.76</v>
      </c>
      <c r="I193">
        <v>2230</v>
      </c>
      <c r="J193">
        <v>16.23</v>
      </c>
      <c r="K193">
        <v>0.14000000000000001</v>
      </c>
      <c r="L193">
        <v>6066</v>
      </c>
    </row>
    <row r="194" spans="1:12" x14ac:dyDescent="0.35">
      <c r="A194" t="str">
        <f t="shared" si="2"/>
        <v>B-433-B-251-TS</v>
      </c>
      <c r="B194" t="s">
        <v>88</v>
      </c>
      <c r="C194" t="s">
        <v>50</v>
      </c>
      <c r="D194" t="s">
        <v>20</v>
      </c>
      <c r="E194">
        <v>0.41799999999999998</v>
      </c>
      <c r="F194">
        <v>247573.4</v>
      </c>
      <c r="G194">
        <v>56204</v>
      </c>
      <c r="H194">
        <v>67.98</v>
      </c>
      <c r="I194">
        <v>247715</v>
      </c>
      <c r="J194">
        <v>100.06</v>
      </c>
      <c r="K194">
        <v>0.38</v>
      </c>
      <c r="L194">
        <v>93502</v>
      </c>
    </row>
    <row r="195" spans="1:12" x14ac:dyDescent="0.35">
      <c r="A195" t="str">
        <f t="shared" ref="A195:A258" si="3">CONCATENATE(B195,"-",C195,"-",D195)</f>
        <v>B-433-B-251-TI</v>
      </c>
      <c r="B195" t="s">
        <v>88</v>
      </c>
      <c r="C195" t="s">
        <v>50</v>
      </c>
      <c r="D195" t="s">
        <v>18</v>
      </c>
      <c r="E195">
        <v>0.53800000000000003</v>
      </c>
      <c r="F195">
        <v>28865.4</v>
      </c>
      <c r="G195">
        <v>1090</v>
      </c>
      <c r="H195">
        <v>14.95</v>
      </c>
      <c r="I195">
        <v>2235</v>
      </c>
      <c r="J195">
        <v>7.74</v>
      </c>
      <c r="K195">
        <v>7.0000000000000007E-2</v>
      </c>
      <c r="L195">
        <v>14020</v>
      </c>
    </row>
    <row r="196" spans="1:12" x14ac:dyDescent="0.35">
      <c r="A196" t="str">
        <f t="shared" si="3"/>
        <v>B-433-B-454-VIOLETA</v>
      </c>
      <c r="B196" t="s">
        <v>88</v>
      </c>
      <c r="C196" t="s">
        <v>51</v>
      </c>
      <c r="D196" t="s">
        <v>26</v>
      </c>
      <c r="E196">
        <v>0.504</v>
      </c>
      <c r="F196">
        <v>29284.400000000001</v>
      </c>
      <c r="G196">
        <v>2414</v>
      </c>
      <c r="H196">
        <v>41.75</v>
      </c>
      <c r="I196">
        <v>5656</v>
      </c>
      <c r="J196">
        <v>19.309999999999999</v>
      </c>
      <c r="K196">
        <v>0.16</v>
      </c>
      <c r="L196">
        <v>12668</v>
      </c>
    </row>
    <row r="197" spans="1:12" x14ac:dyDescent="0.35">
      <c r="A197" t="str">
        <f t="shared" si="3"/>
        <v>B-433-B-454-ROJO</v>
      </c>
      <c r="B197" t="s">
        <v>88</v>
      </c>
      <c r="C197" t="s">
        <v>51</v>
      </c>
      <c r="D197" t="s">
        <v>27</v>
      </c>
      <c r="E197">
        <v>0.39300000000000002</v>
      </c>
      <c r="F197">
        <v>25516.799999999999</v>
      </c>
      <c r="G197">
        <v>4538</v>
      </c>
      <c r="H197">
        <v>64.75</v>
      </c>
      <c r="I197">
        <v>16097</v>
      </c>
      <c r="J197">
        <v>63.08</v>
      </c>
      <c r="K197">
        <v>0.35</v>
      </c>
      <c r="L197">
        <v>8604</v>
      </c>
    </row>
    <row r="198" spans="1:12" x14ac:dyDescent="0.35">
      <c r="A198" t="str">
        <f t="shared" si="3"/>
        <v>B-433-B-454-AZUL</v>
      </c>
      <c r="B198" t="s">
        <v>88</v>
      </c>
      <c r="C198" t="s">
        <v>51</v>
      </c>
      <c r="D198" t="s">
        <v>28</v>
      </c>
      <c r="E198">
        <v>0.51500000000000001</v>
      </c>
      <c r="F198">
        <v>21379.7</v>
      </c>
      <c r="G198">
        <v>1565</v>
      </c>
      <c r="H198">
        <v>37.08</v>
      </c>
      <c r="I198">
        <v>3553</v>
      </c>
      <c r="J198">
        <v>16.62</v>
      </c>
      <c r="K198">
        <v>0.14000000000000001</v>
      </c>
      <c r="L198">
        <v>9446</v>
      </c>
    </row>
    <row r="199" spans="1:12" x14ac:dyDescent="0.35">
      <c r="A199" t="str">
        <f t="shared" si="3"/>
        <v>B-433-B-454-VERDE</v>
      </c>
      <c r="B199" t="s">
        <v>88</v>
      </c>
      <c r="C199" t="s">
        <v>51</v>
      </c>
      <c r="D199" t="s">
        <v>29</v>
      </c>
      <c r="E199">
        <v>0.498</v>
      </c>
      <c r="F199">
        <v>44676.2</v>
      </c>
      <c r="G199">
        <v>3904</v>
      </c>
      <c r="H199">
        <v>31.82</v>
      </c>
      <c r="I199">
        <v>8692</v>
      </c>
      <c r="J199">
        <v>19.46</v>
      </c>
      <c r="K199">
        <v>0.17</v>
      </c>
      <c r="L199">
        <v>19105</v>
      </c>
    </row>
    <row r="200" spans="1:12" x14ac:dyDescent="0.35">
      <c r="A200" t="str">
        <f t="shared" si="3"/>
        <v>B-433-B-454-TS</v>
      </c>
      <c r="B200" t="s">
        <v>88</v>
      </c>
      <c r="C200" t="s">
        <v>51</v>
      </c>
      <c r="D200" t="s">
        <v>20</v>
      </c>
      <c r="E200">
        <v>0.46300000000000002</v>
      </c>
      <c r="F200">
        <v>379868.8</v>
      </c>
      <c r="G200">
        <v>70844</v>
      </c>
      <c r="H200">
        <v>55.85</v>
      </c>
      <c r="I200">
        <v>244371</v>
      </c>
      <c r="J200">
        <v>64.33</v>
      </c>
      <c r="K200">
        <v>0.31</v>
      </c>
      <c r="L200">
        <v>158860</v>
      </c>
    </row>
    <row r="201" spans="1:12" x14ac:dyDescent="0.35">
      <c r="A201" t="str">
        <f t="shared" si="3"/>
        <v>B-433-B-458-TI</v>
      </c>
      <c r="B201" t="s">
        <v>88</v>
      </c>
      <c r="C201" t="s">
        <v>89</v>
      </c>
      <c r="D201" t="s">
        <v>18</v>
      </c>
      <c r="E201">
        <v>0.56499999999999995</v>
      </c>
      <c r="F201">
        <v>22903.4</v>
      </c>
      <c r="G201">
        <v>311</v>
      </c>
      <c r="H201">
        <v>5.38</v>
      </c>
      <c r="I201">
        <v>623</v>
      </c>
      <c r="J201">
        <v>2.72</v>
      </c>
      <c r="K201">
        <v>0.03</v>
      </c>
      <c r="L201">
        <v>11678</v>
      </c>
    </row>
    <row r="202" spans="1:12" x14ac:dyDescent="0.35">
      <c r="A202" t="str">
        <f t="shared" si="3"/>
        <v>B-433-B-459-VIOLETA</v>
      </c>
      <c r="B202" t="s">
        <v>88</v>
      </c>
      <c r="C202" t="s">
        <v>47</v>
      </c>
      <c r="D202" t="s">
        <v>26</v>
      </c>
      <c r="E202">
        <v>0.46899999999999997</v>
      </c>
      <c r="F202">
        <v>22477.3</v>
      </c>
      <c r="G202">
        <v>2528</v>
      </c>
      <c r="H202">
        <v>56.98</v>
      </c>
      <c r="I202">
        <v>7440</v>
      </c>
      <c r="J202">
        <v>33.1</v>
      </c>
      <c r="K202">
        <v>0.22</v>
      </c>
      <c r="L202">
        <v>9048</v>
      </c>
    </row>
    <row r="203" spans="1:12" x14ac:dyDescent="0.35">
      <c r="A203" t="str">
        <f t="shared" si="3"/>
        <v>B-433-B-459-ROJO</v>
      </c>
      <c r="B203" t="s">
        <v>88</v>
      </c>
      <c r="C203" t="s">
        <v>47</v>
      </c>
      <c r="D203" t="s">
        <v>27</v>
      </c>
      <c r="E203">
        <v>0.46600000000000003</v>
      </c>
      <c r="F203">
        <v>19984.8</v>
      </c>
      <c r="G203">
        <v>2300</v>
      </c>
      <c r="H203">
        <v>41.9</v>
      </c>
      <c r="I203">
        <v>5395</v>
      </c>
      <c r="J203">
        <v>27</v>
      </c>
      <c r="K203">
        <v>0.22</v>
      </c>
      <c r="L203">
        <v>7993</v>
      </c>
    </row>
    <row r="204" spans="1:12" x14ac:dyDescent="0.35">
      <c r="A204" t="str">
        <f t="shared" si="3"/>
        <v>B-433-B-459-AZUL</v>
      </c>
      <c r="B204" t="s">
        <v>88</v>
      </c>
      <c r="C204" t="s">
        <v>47</v>
      </c>
      <c r="D204" t="s">
        <v>28</v>
      </c>
      <c r="E204">
        <v>0.56200000000000006</v>
      </c>
      <c r="F204">
        <v>12683.8</v>
      </c>
      <c r="G204">
        <v>416</v>
      </c>
      <c r="H204">
        <v>16.62</v>
      </c>
      <c r="I204">
        <v>919</v>
      </c>
      <c r="J204">
        <v>7.25</v>
      </c>
      <c r="K204">
        <v>0.06</v>
      </c>
      <c r="L204">
        <v>6116</v>
      </c>
    </row>
    <row r="205" spans="1:12" x14ac:dyDescent="0.35">
      <c r="A205" t="str">
        <f t="shared" si="3"/>
        <v>B-433-B-459-VERDE</v>
      </c>
      <c r="B205" t="s">
        <v>88</v>
      </c>
      <c r="C205" t="s">
        <v>47</v>
      </c>
      <c r="D205" t="s">
        <v>29</v>
      </c>
      <c r="E205">
        <v>0.52</v>
      </c>
      <c r="F205">
        <v>25932.1</v>
      </c>
      <c r="G205">
        <v>1779</v>
      </c>
      <c r="H205">
        <v>24.97</v>
      </c>
      <c r="I205">
        <v>3924</v>
      </c>
      <c r="J205">
        <v>15.13</v>
      </c>
      <c r="K205">
        <v>0.13</v>
      </c>
      <c r="L205">
        <v>11577</v>
      </c>
    </row>
    <row r="206" spans="1:12" x14ac:dyDescent="0.35">
      <c r="A206" t="str">
        <f t="shared" si="3"/>
        <v>B-433-B-459-TS</v>
      </c>
      <c r="B206" t="s">
        <v>88</v>
      </c>
      <c r="C206" t="s">
        <v>47</v>
      </c>
      <c r="D206" t="s">
        <v>20</v>
      </c>
      <c r="E206">
        <v>0.44700000000000001</v>
      </c>
      <c r="F206">
        <v>460371.5</v>
      </c>
      <c r="G206">
        <v>92844</v>
      </c>
      <c r="H206">
        <v>60.39</v>
      </c>
      <c r="I206">
        <v>351849</v>
      </c>
      <c r="J206">
        <v>76.430000000000007</v>
      </c>
      <c r="K206">
        <v>0.33</v>
      </c>
      <c r="L206">
        <v>185539</v>
      </c>
    </row>
    <row r="207" spans="1:12" x14ac:dyDescent="0.35">
      <c r="A207" t="str">
        <f t="shared" si="3"/>
        <v>B-433-B-459-TI</v>
      </c>
      <c r="B207" t="s">
        <v>88</v>
      </c>
      <c r="C207" t="s">
        <v>47</v>
      </c>
      <c r="D207" t="s">
        <v>18</v>
      </c>
      <c r="E207">
        <v>0.56799999999999995</v>
      </c>
      <c r="F207">
        <v>35933.1</v>
      </c>
      <c r="G207">
        <v>399</v>
      </c>
      <c r="H207">
        <v>4.3899999999999997</v>
      </c>
      <c r="I207">
        <v>798</v>
      </c>
      <c r="J207">
        <v>2.2200000000000002</v>
      </c>
      <c r="K207">
        <v>0.02</v>
      </c>
      <c r="L207">
        <v>18411</v>
      </c>
    </row>
    <row r="208" spans="1:12" x14ac:dyDescent="0.35">
      <c r="A208" t="str">
        <f t="shared" si="3"/>
        <v>B-433-B-460-VIOLETA</v>
      </c>
      <c r="B208" t="s">
        <v>88</v>
      </c>
      <c r="C208" t="s">
        <v>48</v>
      </c>
      <c r="D208" t="s">
        <v>26</v>
      </c>
      <c r="E208">
        <v>0.46700000000000003</v>
      </c>
      <c r="F208">
        <v>15550.3</v>
      </c>
      <c r="G208">
        <v>1773</v>
      </c>
      <c r="H208">
        <v>57.76</v>
      </c>
      <c r="I208">
        <v>5314</v>
      </c>
      <c r="J208">
        <v>34.17</v>
      </c>
      <c r="K208">
        <v>0.22</v>
      </c>
      <c r="L208">
        <v>6236</v>
      </c>
    </row>
    <row r="209" spans="1:12" x14ac:dyDescent="0.35">
      <c r="A209" t="str">
        <f t="shared" si="3"/>
        <v>B-433-B-460-ROJO</v>
      </c>
      <c r="B209" t="s">
        <v>88</v>
      </c>
      <c r="C209" t="s">
        <v>48</v>
      </c>
      <c r="D209" t="s">
        <v>27</v>
      </c>
      <c r="E209">
        <v>0.435</v>
      </c>
      <c r="F209">
        <v>21965.7</v>
      </c>
      <c r="G209">
        <v>3113</v>
      </c>
      <c r="H209">
        <v>51.6</v>
      </c>
      <c r="I209">
        <v>8227</v>
      </c>
      <c r="J209">
        <v>37.46</v>
      </c>
      <c r="K209">
        <v>0.28000000000000003</v>
      </c>
      <c r="L209">
        <v>8200</v>
      </c>
    </row>
    <row r="210" spans="1:12" x14ac:dyDescent="0.35">
      <c r="A210" t="str">
        <f t="shared" si="3"/>
        <v>B-433-B-460-AZUL</v>
      </c>
      <c r="B210" t="s">
        <v>88</v>
      </c>
      <c r="C210" t="s">
        <v>48</v>
      </c>
      <c r="D210" t="s">
        <v>28</v>
      </c>
      <c r="E210">
        <v>0.57099999999999995</v>
      </c>
      <c r="F210">
        <v>12524.9</v>
      </c>
      <c r="G210">
        <v>310</v>
      </c>
      <c r="H210">
        <v>12.55</v>
      </c>
      <c r="I210">
        <v>686</v>
      </c>
      <c r="J210">
        <v>5.48</v>
      </c>
      <c r="K210">
        <v>0.05</v>
      </c>
      <c r="L210">
        <v>6140</v>
      </c>
    </row>
    <row r="211" spans="1:12" x14ac:dyDescent="0.35">
      <c r="A211" t="str">
        <f t="shared" si="3"/>
        <v>B-433-B-460-VERDE</v>
      </c>
      <c r="B211" t="s">
        <v>88</v>
      </c>
      <c r="C211" t="s">
        <v>48</v>
      </c>
      <c r="D211" t="s">
        <v>29</v>
      </c>
      <c r="E211">
        <v>0.51</v>
      </c>
      <c r="F211">
        <v>20408.8</v>
      </c>
      <c r="G211">
        <v>1572</v>
      </c>
      <c r="H211">
        <v>28.04</v>
      </c>
      <c r="I211">
        <v>3476</v>
      </c>
      <c r="J211">
        <v>17.03</v>
      </c>
      <c r="K211">
        <v>0.15</v>
      </c>
      <c r="L211">
        <v>8939</v>
      </c>
    </row>
    <row r="212" spans="1:12" x14ac:dyDescent="0.35">
      <c r="A212" t="str">
        <f t="shared" si="3"/>
        <v>B-433-B-500-VIOLETA</v>
      </c>
      <c r="B212" t="s">
        <v>88</v>
      </c>
      <c r="C212" t="s">
        <v>90</v>
      </c>
      <c r="D212" t="s">
        <v>26</v>
      </c>
      <c r="E212">
        <v>0.50900000000000001</v>
      </c>
      <c r="F212">
        <v>10803.9</v>
      </c>
      <c r="G212">
        <v>847</v>
      </c>
      <c r="H212">
        <v>39.71</v>
      </c>
      <c r="I212">
        <v>1954</v>
      </c>
      <c r="J212">
        <v>18.09</v>
      </c>
      <c r="K212">
        <v>0.15</v>
      </c>
      <c r="L212">
        <v>4717</v>
      </c>
    </row>
    <row r="213" spans="1:12" x14ac:dyDescent="0.35">
      <c r="A213" t="str">
        <f t="shared" si="3"/>
        <v>B-433-B-500-ROJO</v>
      </c>
      <c r="B213" t="s">
        <v>88</v>
      </c>
      <c r="C213" t="s">
        <v>90</v>
      </c>
      <c r="D213" t="s">
        <v>27</v>
      </c>
      <c r="E213">
        <v>0.31900000000000001</v>
      </c>
      <c r="F213">
        <v>15080.6</v>
      </c>
      <c r="G213">
        <v>3632</v>
      </c>
      <c r="H213">
        <v>87.69</v>
      </c>
      <c r="I213">
        <v>27381</v>
      </c>
      <c r="J213">
        <v>181.56</v>
      </c>
      <c r="K213">
        <v>0.47</v>
      </c>
      <c r="L213">
        <v>4134</v>
      </c>
    </row>
    <row r="214" spans="1:12" x14ac:dyDescent="0.35">
      <c r="A214" t="str">
        <f t="shared" si="3"/>
        <v>B-433-B-500-AZUL</v>
      </c>
      <c r="B214" t="s">
        <v>88</v>
      </c>
      <c r="C214" t="s">
        <v>90</v>
      </c>
      <c r="D214" t="s">
        <v>28</v>
      </c>
      <c r="E214">
        <v>0.502</v>
      </c>
      <c r="F214">
        <v>8336.5</v>
      </c>
      <c r="G214">
        <v>702</v>
      </c>
      <c r="H214">
        <v>42.65</v>
      </c>
      <c r="I214">
        <v>1657</v>
      </c>
      <c r="J214">
        <v>19.88</v>
      </c>
      <c r="K214">
        <v>0.16</v>
      </c>
      <c r="L214">
        <v>3592</v>
      </c>
    </row>
    <row r="215" spans="1:12" x14ac:dyDescent="0.35">
      <c r="A215" t="str">
        <f t="shared" si="3"/>
        <v>B-433-B-500-VERDE</v>
      </c>
      <c r="B215" t="s">
        <v>88</v>
      </c>
      <c r="C215" t="s">
        <v>90</v>
      </c>
      <c r="D215" t="s">
        <v>29</v>
      </c>
      <c r="E215">
        <v>0.47599999999999998</v>
      </c>
      <c r="F215">
        <v>22328.400000000001</v>
      </c>
      <c r="G215">
        <v>2379</v>
      </c>
      <c r="H215">
        <v>38.79</v>
      </c>
      <c r="I215">
        <v>5454</v>
      </c>
      <c r="J215">
        <v>24.43</v>
      </c>
      <c r="K215">
        <v>0.21</v>
      </c>
      <c r="L215">
        <v>9121</v>
      </c>
    </row>
    <row r="216" spans="1:12" x14ac:dyDescent="0.35">
      <c r="A216" t="str">
        <f t="shared" si="3"/>
        <v>B-433-B-500-TI</v>
      </c>
      <c r="B216" t="s">
        <v>88</v>
      </c>
      <c r="C216" t="s">
        <v>90</v>
      </c>
      <c r="D216" t="s">
        <v>18</v>
      </c>
      <c r="E216">
        <v>0.48599999999999999</v>
      </c>
      <c r="F216">
        <v>29967.7</v>
      </c>
      <c r="G216">
        <v>2546</v>
      </c>
      <c r="H216">
        <v>33.619999999999997</v>
      </c>
      <c r="I216">
        <v>6013</v>
      </c>
      <c r="J216">
        <v>20.07</v>
      </c>
      <c r="K216">
        <v>0.16</v>
      </c>
      <c r="L216">
        <v>13141</v>
      </c>
    </row>
    <row r="217" spans="1:12" x14ac:dyDescent="0.35">
      <c r="A217" t="str">
        <f t="shared" si="3"/>
        <v>B-433-B-500-GRUPO_ARENAS</v>
      </c>
      <c r="B217" t="s">
        <v>88</v>
      </c>
      <c r="C217" t="s">
        <v>90</v>
      </c>
      <c r="D217" t="s">
        <v>37</v>
      </c>
      <c r="E217">
        <v>0.41</v>
      </c>
      <c r="F217">
        <v>93247.7</v>
      </c>
      <c r="G217">
        <v>13465</v>
      </c>
      <c r="H217">
        <v>59.26</v>
      </c>
      <c r="I217">
        <v>49873</v>
      </c>
      <c r="J217">
        <v>53.48</v>
      </c>
      <c r="K217">
        <v>0.28000000000000003</v>
      </c>
      <c r="L217">
        <v>34505</v>
      </c>
    </row>
    <row r="218" spans="1:12" x14ac:dyDescent="0.35">
      <c r="A218" t="str">
        <f t="shared" si="3"/>
        <v>B-441-B-248-TS</v>
      </c>
      <c r="B218" t="s">
        <v>91</v>
      </c>
      <c r="C218" t="s">
        <v>46</v>
      </c>
      <c r="D218" t="s">
        <v>20</v>
      </c>
      <c r="E218">
        <v>0.35</v>
      </c>
      <c r="F218">
        <v>131339</v>
      </c>
      <c r="G218">
        <v>37991</v>
      </c>
      <c r="H218">
        <v>86.62</v>
      </c>
      <c r="I218">
        <v>307968</v>
      </c>
      <c r="J218">
        <v>234.48</v>
      </c>
      <c r="K218">
        <v>0.48</v>
      </c>
      <c r="L218">
        <v>41429</v>
      </c>
    </row>
    <row r="219" spans="1:12" x14ac:dyDescent="0.35">
      <c r="A219" t="str">
        <f t="shared" si="3"/>
        <v>B-441-B-455-TS</v>
      </c>
      <c r="B219" t="s">
        <v>91</v>
      </c>
      <c r="C219" t="s">
        <v>41</v>
      </c>
      <c r="D219" t="s">
        <v>20</v>
      </c>
      <c r="E219">
        <v>0.36199999999999999</v>
      </c>
      <c r="F219">
        <v>192546.6</v>
      </c>
      <c r="G219">
        <v>53532</v>
      </c>
      <c r="H219">
        <v>83.26</v>
      </c>
      <c r="I219">
        <v>352291</v>
      </c>
      <c r="J219">
        <v>182.96</v>
      </c>
      <c r="K219">
        <v>0.46</v>
      </c>
      <c r="L219">
        <v>62899</v>
      </c>
    </row>
    <row r="220" spans="1:12" x14ac:dyDescent="0.35">
      <c r="A220" t="str">
        <f t="shared" si="3"/>
        <v>B-441-B-455-TI</v>
      </c>
      <c r="B220" t="s">
        <v>91</v>
      </c>
      <c r="C220" t="s">
        <v>41</v>
      </c>
      <c r="D220" t="s">
        <v>18</v>
      </c>
      <c r="E220">
        <v>0.34799999999999998</v>
      </c>
      <c r="F220">
        <v>87375.5</v>
      </c>
      <c r="G220">
        <v>18283</v>
      </c>
      <c r="H220">
        <v>82.8</v>
      </c>
      <c r="I220">
        <v>118048</v>
      </c>
      <c r="J220">
        <v>135.1</v>
      </c>
      <c r="K220">
        <v>0.4</v>
      </c>
      <c r="L220">
        <v>27455</v>
      </c>
    </row>
    <row r="221" spans="1:12" x14ac:dyDescent="0.35">
      <c r="A221" t="str">
        <f t="shared" si="3"/>
        <v>B-441-B-464-TS</v>
      </c>
      <c r="B221" t="s">
        <v>91</v>
      </c>
      <c r="C221" t="s">
        <v>92</v>
      </c>
      <c r="D221" t="s">
        <v>20</v>
      </c>
      <c r="E221">
        <v>0.35899999999999999</v>
      </c>
      <c r="F221">
        <v>309383.8</v>
      </c>
      <c r="G221">
        <v>86842</v>
      </c>
      <c r="H221">
        <v>84.06</v>
      </c>
      <c r="I221">
        <v>593028</v>
      </c>
      <c r="J221">
        <v>191.68</v>
      </c>
      <c r="K221">
        <v>0.46</v>
      </c>
      <c r="L221">
        <v>100240</v>
      </c>
    </row>
    <row r="222" spans="1:12" x14ac:dyDescent="0.35">
      <c r="A222" t="str">
        <f t="shared" si="3"/>
        <v>B-453-B-13-TI</v>
      </c>
      <c r="B222" t="s">
        <v>93</v>
      </c>
      <c r="C222" t="s">
        <v>54</v>
      </c>
      <c r="D222" t="s">
        <v>18</v>
      </c>
      <c r="E222">
        <v>0.41399999999999998</v>
      </c>
      <c r="F222">
        <v>46103.5</v>
      </c>
      <c r="G222">
        <v>6906</v>
      </c>
      <c r="H222">
        <v>59.28</v>
      </c>
      <c r="I222">
        <v>25587</v>
      </c>
      <c r="J222">
        <v>55.5</v>
      </c>
      <c r="K222">
        <v>0.28999999999999998</v>
      </c>
      <c r="L222">
        <v>17228</v>
      </c>
    </row>
    <row r="223" spans="1:12" x14ac:dyDescent="0.35">
      <c r="A223" t="str">
        <f t="shared" si="3"/>
        <v>B-453-B-17-TI</v>
      </c>
      <c r="B223" t="s">
        <v>93</v>
      </c>
      <c r="C223" t="s">
        <v>17</v>
      </c>
      <c r="D223" t="s">
        <v>18</v>
      </c>
      <c r="E223">
        <v>0.41799999999999998</v>
      </c>
      <c r="F223">
        <v>68239.7</v>
      </c>
      <c r="G223">
        <v>9990</v>
      </c>
      <c r="H223">
        <v>57.93</v>
      </c>
      <c r="I223">
        <v>36003</v>
      </c>
      <c r="J223">
        <v>52.76</v>
      </c>
      <c r="K223">
        <v>0.28000000000000003</v>
      </c>
      <c r="L223">
        <v>25731</v>
      </c>
    </row>
    <row r="224" spans="1:12" x14ac:dyDescent="0.35">
      <c r="A224" t="str">
        <f t="shared" si="3"/>
        <v>B-453-B-17-GRUPO_ARENAS</v>
      </c>
      <c r="B224" t="s">
        <v>93</v>
      </c>
      <c r="C224" t="s">
        <v>17</v>
      </c>
      <c r="D224" t="s">
        <v>37</v>
      </c>
      <c r="E224">
        <v>0.442</v>
      </c>
      <c r="F224">
        <v>155203.20000000001</v>
      </c>
      <c r="G224">
        <v>17965</v>
      </c>
      <c r="H224">
        <v>47.5</v>
      </c>
      <c r="I224">
        <v>52036</v>
      </c>
      <c r="J224">
        <v>33.53</v>
      </c>
      <c r="K224">
        <v>0.23</v>
      </c>
      <c r="L224">
        <v>61878</v>
      </c>
    </row>
    <row r="225" spans="1:12" x14ac:dyDescent="0.35">
      <c r="A225" t="str">
        <f t="shared" si="3"/>
        <v>B-453-B-41-GRUPO_ARENAS</v>
      </c>
      <c r="B225" t="s">
        <v>93</v>
      </c>
      <c r="C225" t="s">
        <v>76</v>
      </c>
      <c r="D225" t="s">
        <v>37</v>
      </c>
      <c r="E225">
        <v>0.502</v>
      </c>
      <c r="F225">
        <v>223214.9</v>
      </c>
      <c r="G225">
        <v>13632</v>
      </c>
      <c r="H225">
        <v>25.06</v>
      </c>
      <c r="I225">
        <v>29658</v>
      </c>
      <c r="J225">
        <v>13.29</v>
      </c>
      <c r="K225">
        <v>0.12</v>
      </c>
      <c r="L225">
        <v>101198</v>
      </c>
    </row>
    <row r="226" spans="1:12" x14ac:dyDescent="0.35">
      <c r="A226" t="str">
        <f t="shared" si="3"/>
        <v>B-453-B-337-TI</v>
      </c>
      <c r="B226" t="s">
        <v>93</v>
      </c>
      <c r="C226" t="s">
        <v>21</v>
      </c>
      <c r="D226" t="s">
        <v>18</v>
      </c>
      <c r="E226">
        <v>0.42799999999999999</v>
      </c>
      <c r="F226">
        <v>43689.4</v>
      </c>
      <c r="G226">
        <v>6009</v>
      </c>
      <c r="H226">
        <v>54.43</v>
      </c>
      <c r="I226">
        <v>20101</v>
      </c>
      <c r="J226">
        <v>46.01</v>
      </c>
      <c r="K226">
        <v>0.26</v>
      </c>
      <c r="L226">
        <v>16860</v>
      </c>
    </row>
    <row r="227" spans="1:12" x14ac:dyDescent="0.35">
      <c r="A227" t="str">
        <f t="shared" si="3"/>
        <v>B-453-B-337-GRUPO_ARENAS</v>
      </c>
      <c r="B227" t="s">
        <v>93</v>
      </c>
      <c r="C227" t="s">
        <v>21</v>
      </c>
      <c r="D227" t="s">
        <v>37</v>
      </c>
      <c r="E227">
        <v>0.49299999999999999</v>
      </c>
      <c r="F227">
        <v>68633.399999999994</v>
      </c>
      <c r="G227">
        <v>4775</v>
      </c>
      <c r="H227">
        <v>28.55</v>
      </c>
      <c r="I227">
        <v>10706</v>
      </c>
      <c r="J227">
        <v>15.6</v>
      </c>
      <c r="K227">
        <v>0.14000000000000001</v>
      </c>
      <c r="L227">
        <v>30533</v>
      </c>
    </row>
    <row r="228" spans="1:12" x14ac:dyDescent="0.35">
      <c r="A228" t="str">
        <f t="shared" si="3"/>
        <v>B-453-B-338-GRUPO_ARENAS</v>
      </c>
      <c r="B228" t="s">
        <v>93</v>
      </c>
      <c r="C228" t="s">
        <v>22</v>
      </c>
      <c r="D228" t="s">
        <v>37</v>
      </c>
      <c r="E228">
        <v>0.42399999999999999</v>
      </c>
      <c r="F228">
        <v>268958.3</v>
      </c>
      <c r="G228">
        <v>35413</v>
      </c>
      <c r="H228">
        <v>54.03</v>
      </c>
      <c r="I228">
        <v>117427</v>
      </c>
      <c r="J228">
        <v>43.66</v>
      </c>
      <c r="K228">
        <v>0.26</v>
      </c>
      <c r="L228">
        <v>102950</v>
      </c>
    </row>
    <row r="229" spans="1:12" x14ac:dyDescent="0.35">
      <c r="A229" t="str">
        <f t="shared" si="3"/>
        <v>B-453-B-462-GRUPO_ARENAS</v>
      </c>
      <c r="B229" t="s">
        <v>93</v>
      </c>
      <c r="C229" t="s">
        <v>23</v>
      </c>
      <c r="D229" t="s">
        <v>37</v>
      </c>
      <c r="E229">
        <v>0.497</v>
      </c>
      <c r="F229">
        <v>136365.6</v>
      </c>
      <c r="G229">
        <v>9001</v>
      </c>
      <c r="H229">
        <v>27.09</v>
      </c>
      <c r="I229">
        <v>19917</v>
      </c>
      <c r="J229">
        <v>14.61</v>
      </c>
      <c r="K229">
        <v>0.13</v>
      </c>
      <c r="L229">
        <v>61151</v>
      </c>
    </row>
    <row r="230" spans="1:12" x14ac:dyDescent="0.35">
      <c r="A230" t="str">
        <f t="shared" si="3"/>
        <v>B-457-B-10-PORFIRITA</v>
      </c>
      <c r="B230" t="s">
        <v>94</v>
      </c>
      <c r="C230" t="s">
        <v>95</v>
      </c>
      <c r="D230" t="s">
        <v>14</v>
      </c>
      <c r="E230">
        <v>0.45800000000000002</v>
      </c>
      <c r="F230">
        <v>46308.2</v>
      </c>
      <c r="G230">
        <v>3846</v>
      </c>
      <c r="H230">
        <v>36.81</v>
      </c>
      <c r="I230">
        <v>59752</v>
      </c>
      <c r="J230">
        <v>129.03</v>
      </c>
      <c r="K230">
        <v>0.17</v>
      </c>
      <c r="L230">
        <v>19141</v>
      </c>
    </row>
    <row r="231" spans="1:12" x14ac:dyDescent="0.35">
      <c r="A231" t="str">
        <f t="shared" si="3"/>
        <v>B-457-B-333-TI</v>
      </c>
      <c r="B231" t="s">
        <v>94</v>
      </c>
      <c r="C231" t="s">
        <v>64</v>
      </c>
      <c r="D231" t="s">
        <v>18</v>
      </c>
      <c r="E231">
        <v>0.49399999999999999</v>
      </c>
      <c r="F231">
        <v>102356.3</v>
      </c>
      <c r="G231">
        <v>7907</v>
      </c>
      <c r="H231">
        <v>30.57</v>
      </c>
      <c r="I231">
        <v>18078</v>
      </c>
      <c r="J231">
        <v>17.66</v>
      </c>
      <c r="K231">
        <v>0.15</v>
      </c>
      <c r="L231">
        <v>45673</v>
      </c>
    </row>
    <row r="232" spans="1:12" x14ac:dyDescent="0.35">
      <c r="A232" t="str">
        <f t="shared" si="3"/>
        <v>B-457-B-407-TI</v>
      </c>
      <c r="B232" t="s">
        <v>94</v>
      </c>
      <c r="C232" t="s">
        <v>65</v>
      </c>
      <c r="D232" t="s">
        <v>18</v>
      </c>
      <c r="E232">
        <v>0.41599999999999998</v>
      </c>
      <c r="F232">
        <v>130595.5</v>
      </c>
      <c r="G232">
        <v>19286</v>
      </c>
      <c r="H232">
        <v>58.44</v>
      </c>
      <c r="I232">
        <v>70243</v>
      </c>
      <c r="J232">
        <v>53.79</v>
      </c>
      <c r="K232">
        <v>0.28000000000000003</v>
      </c>
      <c r="L232">
        <v>49076</v>
      </c>
    </row>
    <row r="233" spans="1:12" x14ac:dyDescent="0.35">
      <c r="A233" t="str">
        <f t="shared" si="3"/>
        <v>B-457-B-407-GRUPO_ARENAS</v>
      </c>
      <c r="B233" t="s">
        <v>94</v>
      </c>
      <c r="C233" t="s">
        <v>65</v>
      </c>
      <c r="D233" t="s">
        <v>37</v>
      </c>
      <c r="E233">
        <v>0.44400000000000001</v>
      </c>
      <c r="F233">
        <v>101189</v>
      </c>
      <c r="G233">
        <v>11467</v>
      </c>
      <c r="H233">
        <v>46.5</v>
      </c>
      <c r="I233">
        <v>32607</v>
      </c>
      <c r="J233">
        <v>32.22</v>
      </c>
      <c r="K233">
        <v>0.22</v>
      </c>
      <c r="L233">
        <v>40589</v>
      </c>
    </row>
    <row r="234" spans="1:12" x14ac:dyDescent="0.35">
      <c r="A234" t="str">
        <f t="shared" si="3"/>
        <v>B-457-B-422-PORFIRITA</v>
      </c>
      <c r="B234" t="s">
        <v>94</v>
      </c>
      <c r="C234" t="s">
        <v>15</v>
      </c>
      <c r="D234" t="s">
        <v>14</v>
      </c>
      <c r="E234">
        <v>0.38</v>
      </c>
      <c r="F234">
        <v>102484</v>
      </c>
      <c r="G234">
        <v>15766</v>
      </c>
      <c r="H234">
        <v>68.180000000000007</v>
      </c>
      <c r="I234">
        <v>245002</v>
      </c>
      <c r="J234">
        <v>239.06</v>
      </c>
      <c r="K234">
        <v>0.31</v>
      </c>
      <c r="L234">
        <v>35106</v>
      </c>
    </row>
    <row r="235" spans="1:12" x14ac:dyDescent="0.35">
      <c r="A235" t="str">
        <f t="shared" si="3"/>
        <v>B-457-B-450-TS</v>
      </c>
      <c r="B235" t="s">
        <v>94</v>
      </c>
      <c r="C235" t="s">
        <v>96</v>
      </c>
      <c r="D235" t="s">
        <v>20</v>
      </c>
      <c r="E235">
        <v>0.38500000000000001</v>
      </c>
      <c r="F235">
        <v>156782.5</v>
      </c>
      <c r="G235">
        <v>40392</v>
      </c>
      <c r="H235">
        <v>77.150000000000006</v>
      </c>
      <c r="I235">
        <v>218093</v>
      </c>
      <c r="J235">
        <v>139.11000000000001</v>
      </c>
      <c r="K235">
        <v>0.43</v>
      </c>
      <c r="L235">
        <v>54413</v>
      </c>
    </row>
    <row r="236" spans="1:12" x14ac:dyDescent="0.35">
      <c r="A236" t="str">
        <f t="shared" si="3"/>
        <v>B-457-B-456-TS</v>
      </c>
      <c r="B236" t="s">
        <v>94</v>
      </c>
      <c r="C236" t="s">
        <v>97</v>
      </c>
      <c r="D236" t="s">
        <v>20</v>
      </c>
      <c r="E236">
        <v>0.38900000000000001</v>
      </c>
      <c r="F236">
        <v>161946.6</v>
      </c>
      <c r="G236">
        <v>41090</v>
      </c>
      <c r="H236">
        <v>75.98</v>
      </c>
      <c r="I236">
        <v>215451</v>
      </c>
      <c r="J236">
        <v>133.04</v>
      </c>
      <c r="K236">
        <v>0.42</v>
      </c>
      <c r="L236">
        <v>56838</v>
      </c>
    </row>
    <row r="237" spans="1:12" x14ac:dyDescent="0.35">
      <c r="A237" t="str">
        <f t="shared" si="3"/>
        <v>B-457-B-461-VIOLETA</v>
      </c>
      <c r="B237" t="s">
        <v>94</v>
      </c>
      <c r="C237" t="s">
        <v>33</v>
      </c>
      <c r="D237" t="s">
        <v>26</v>
      </c>
      <c r="E237">
        <v>0.50900000000000001</v>
      </c>
      <c r="F237">
        <v>3733.9</v>
      </c>
      <c r="G237">
        <v>291</v>
      </c>
      <c r="H237">
        <v>39.450000000000003</v>
      </c>
      <c r="I237">
        <v>670</v>
      </c>
      <c r="J237">
        <v>17.93</v>
      </c>
      <c r="K237">
        <v>0.15</v>
      </c>
      <c r="L237">
        <v>1632</v>
      </c>
    </row>
    <row r="238" spans="1:12" x14ac:dyDescent="0.35">
      <c r="A238" t="str">
        <f t="shared" si="3"/>
        <v>B-457-B-461-ROJO</v>
      </c>
      <c r="B238" t="s">
        <v>94</v>
      </c>
      <c r="C238" t="s">
        <v>33</v>
      </c>
      <c r="D238" t="s">
        <v>27</v>
      </c>
      <c r="E238">
        <v>0.52300000000000002</v>
      </c>
      <c r="F238">
        <v>4853</v>
      </c>
      <c r="G238">
        <v>321</v>
      </c>
      <c r="H238">
        <v>24.08</v>
      </c>
      <c r="I238">
        <v>708</v>
      </c>
      <c r="J238">
        <v>14.59</v>
      </c>
      <c r="K238">
        <v>0.13</v>
      </c>
      <c r="L238">
        <v>2178</v>
      </c>
    </row>
    <row r="239" spans="1:12" x14ac:dyDescent="0.35">
      <c r="A239" t="str">
        <f t="shared" si="3"/>
        <v>B-457-B-461-AZUL</v>
      </c>
      <c r="B239" t="s">
        <v>94</v>
      </c>
      <c r="C239" t="s">
        <v>33</v>
      </c>
      <c r="D239" t="s">
        <v>28</v>
      </c>
      <c r="E239">
        <v>0.59799999999999998</v>
      </c>
      <c r="F239">
        <v>3192.9</v>
      </c>
      <c r="G239">
        <v>6</v>
      </c>
      <c r="H239">
        <v>1.03</v>
      </c>
      <c r="I239">
        <v>14</v>
      </c>
      <c r="J239">
        <v>0.45</v>
      </c>
      <c r="K239">
        <v>0</v>
      </c>
      <c r="L239">
        <v>1638</v>
      </c>
    </row>
    <row r="240" spans="1:12" x14ac:dyDescent="0.35">
      <c r="A240" t="str">
        <f t="shared" si="3"/>
        <v>B-457-B-461-VERDE</v>
      </c>
      <c r="B240" t="s">
        <v>94</v>
      </c>
      <c r="C240" t="s">
        <v>33</v>
      </c>
      <c r="D240" t="s">
        <v>29</v>
      </c>
      <c r="E240">
        <v>0.57099999999999995</v>
      </c>
      <c r="F240">
        <v>15710.5</v>
      </c>
      <c r="G240">
        <v>386</v>
      </c>
      <c r="H240">
        <v>8.9499999999999993</v>
      </c>
      <c r="I240">
        <v>855</v>
      </c>
      <c r="J240">
        <v>5.44</v>
      </c>
      <c r="K240">
        <v>0.05</v>
      </c>
      <c r="L240">
        <v>7705</v>
      </c>
    </row>
    <row r="241" spans="1:12" x14ac:dyDescent="0.35">
      <c r="A241" t="str">
        <f t="shared" si="3"/>
        <v>B-457-B-461-TS</v>
      </c>
      <c r="B241" t="s">
        <v>94</v>
      </c>
      <c r="C241" t="s">
        <v>33</v>
      </c>
      <c r="D241" t="s">
        <v>20</v>
      </c>
      <c r="E241">
        <v>0.38500000000000001</v>
      </c>
      <c r="F241">
        <v>74714.2</v>
      </c>
      <c r="G241">
        <v>19208</v>
      </c>
      <c r="H241">
        <v>76.989999999999995</v>
      </c>
      <c r="I241">
        <v>103275</v>
      </c>
      <c r="J241">
        <v>138.22999999999999</v>
      </c>
      <c r="K241">
        <v>0.43</v>
      </c>
      <c r="L241">
        <v>25971</v>
      </c>
    </row>
    <row r="242" spans="1:12" x14ac:dyDescent="0.35">
      <c r="A242" t="str">
        <f t="shared" si="3"/>
        <v>B-457-B-492-VIOLETA</v>
      </c>
      <c r="B242" t="s">
        <v>94</v>
      </c>
      <c r="C242" t="s">
        <v>86</v>
      </c>
      <c r="D242" t="s">
        <v>26</v>
      </c>
      <c r="E242">
        <v>0.503</v>
      </c>
      <c r="F242">
        <v>4950.5</v>
      </c>
      <c r="G242">
        <v>411</v>
      </c>
      <c r="H242">
        <v>42</v>
      </c>
      <c r="I242">
        <v>964</v>
      </c>
      <c r="J242">
        <v>19.47</v>
      </c>
      <c r="K242">
        <v>0.16</v>
      </c>
      <c r="L242">
        <v>2139</v>
      </c>
    </row>
    <row r="243" spans="1:12" x14ac:dyDescent="0.35">
      <c r="A243" t="str">
        <f t="shared" si="3"/>
        <v>B-457-B-492-ROJO</v>
      </c>
      <c r="B243" t="s">
        <v>94</v>
      </c>
      <c r="C243" t="s">
        <v>86</v>
      </c>
      <c r="D243" t="s">
        <v>27</v>
      </c>
      <c r="E243">
        <v>0.52300000000000002</v>
      </c>
      <c r="F243">
        <v>6424.4</v>
      </c>
      <c r="G243">
        <v>424</v>
      </c>
      <c r="H243">
        <v>24.05</v>
      </c>
      <c r="I243">
        <v>936</v>
      </c>
      <c r="J243">
        <v>14.57</v>
      </c>
      <c r="K243">
        <v>0.13</v>
      </c>
      <c r="L243">
        <v>2884</v>
      </c>
    </row>
    <row r="244" spans="1:12" x14ac:dyDescent="0.35">
      <c r="A244" t="str">
        <f t="shared" si="3"/>
        <v>B-457-B-492-AZUL</v>
      </c>
      <c r="B244" t="s">
        <v>94</v>
      </c>
      <c r="C244" t="s">
        <v>86</v>
      </c>
      <c r="D244" t="s">
        <v>28</v>
      </c>
      <c r="E244">
        <v>0.58599999999999997</v>
      </c>
      <c r="F244">
        <v>4375</v>
      </c>
      <c r="G244">
        <v>52</v>
      </c>
      <c r="H244">
        <v>5.97</v>
      </c>
      <c r="I244">
        <v>114</v>
      </c>
      <c r="J244">
        <v>2.61</v>
      </c>
      <c r="K244">
        <v>0.02</v>
      </c>
      <c r="L244">
        <v>2202</v>
      </c>
    </row>
    <row r="245" spans="1:12" x14ac:dyDescent="0.35">
      <c r="A245" t="str">
        <f t="shared" si="3"/>
        <v>B-457-B-492-VERDE</v>
      </c>
      <c r="B245" t="s">
        <v>94</v>
      </c>
      <c r="C245" t="s">
        <v>86</v>
      </c>
      <c r="D245" t="s">
        <v>29</v>
      </c>
      <c r="E245">
        <v>0.56399999999999995</v>
      </c>
      <c r="F245">
        <v>20064.099999999999</v>
      </c>
      <c r="G245">
        <v>621</v>
      </c>
      <c r="H245">
        <v>11.26</v>
      </c>
      <c r="I245">
        <v>1374</v>
      </c>
      <c r="J245">
        <v>6.85</v>
      </c>
      <c r="K245">
        <v>0.06</v>
      </c>
      <c r="L245">
        <v>9713</v>
      </c>
    </row>
    <row r="246" spans="1:12" x14ac:dyDescent="0.35">
      <c r="A246" t="str">
        <f t="shared" si="3"/>
        <v>B-457-B-492-PORFIRITA</v>
      </c>
      <c r="B246" t="s">
        <v>94</v>
      </c>
      <c r="C246" t="s">
        <v>86</v>
      </c>
      <c r="D246" t="s">
        <v>14</v>
      </c>
      <c r="E246">
        <v>0.45800000000000002</v>
      </c>
      <c r="F246">
        <v>26637.4</v>
      </c>
      <c r="G246">
        <v>2223</v>
      </c>
      <c r="H246">
        <v>36.99</v>
      </c>
      <c r="I246">
        <v>34528</v>
      </c>
      <c r="J246">
        <v>129.62</v>
      </c>
      <c r="K246">
        <v>0.17</v>
      </c>
      <c r="L246">
        <v>10999</v>
      </c>
    </row>
    <row r="247" spans="1:12" x14ac:dyDescent="0.35">
      <c r="A247" t="str">
        <f t="shared" si="3"/>
        <v>B-457-B-492-TS</v>
      </c>
      <c r="B247" t="s">
        <v>94</v>
      </c>
      <c r="C247" t="s">
        <v>86</v>
      </c>
      <c r="D247" t="s">
        <v>20</v>
      </c>
      <c r="E247">
        <v>0.375</v>
      </c>
      <c r="F247">
        <v>40718.699999999997</v>
      </c>
      <c r="G247">
        <v>10841</v>
      </c>
      <c r="H247">
        <v>79.73</v>
      </c>
      <c r="I247">
        <v>62890</v>
      </c>
      <c r="J247">
        <v>154.44999999999999</v>
      </c>
      <c r="K247">
        <v>0.44</v>
      </c>
      <c r="L247">
        <v>13781</v>
      </c>
    </row>
    <row r="248" spans="1:12" x14ac:dyDescent="0.35">
      <c r="A248" t="str">
        <f t="shared" si="3"/>
        <v>B-457-B-494-TS</v>
      </c>
      <c r="B248" t="s">
        <v>94</v>
      </c>
      <c r="C248" t="s">
        <v>98</v>
      </c>
      <c r="D248" t="s">
        <v>20</v>
      </c>
      <c r="E248">
        <v>0.40899999999999997</v>
      </c>
      <c r="F248">
        <v>79131.8</v>
      </c>
      <c r="G248">
        <v>18650</v>
      </c>
      <c r="H248">
        <v>70.58</v>
      </c>
      <c r="I248">
        <v>86680</v>
      </c>
      <c r="J248">
        <v>109.54</v>
      </c>
      <c r="K248">
        <v>0.39</v>
      </c>
      <c r="L248">
        <v>29200</v>
      </c>
    </row>
    <row r="249" spans="1:12" x14ac:dyDescent="0.35">
      <c r="A249" t="str">
        <f t="shared" si="3"/>
        <v>B-457-B-499-GRUPO_ARENAS</v>
      </c>
      <c r="B249" t="s">
        <v>94</v>
      </c>
      <c r="C249" t="s">
        <v>43</v>
      </c>
      <c r="D249" t="s">
        <v>37</v>
      </c>
      <c r="E249">
        <v>0.42199999999999999</v>
      </c>
      <c r="F249">
        <v>104483.6</v>
      </c>
      <c r="G249">
        <v>13948</v>
      </c>
      <c r="H249">
        <v>54.78</v>
      </c>
      <c r="I249">
        <v>47010</v>
      </c>
      <c r="J249">
        <v>44.99</v>
      </c>
      <c r="K249">
        <v>0.26</v>
      </c>
      <c r="L249">
        <v>39803</v>
      </c>
    </row>
    <row r="250" spans="1:12" x14ac:dyDescent="0.35">
      <c r="A250" t="str">
        <f t="shared" si="3"/>
        <v>B-457-B-522-PORFIRITA</v>
      </c>
      <c r="B250" t="s">
        <v>94</v>
      </c>
      <c r="C250" t="s">
        <v>87</v>
      </c>
      <c r="D250" t="s">
        <v>14</v>
      </c>
      <c r="E250">
        <v>0.4</v>
      </c>
      <c r="F250">
        <v>42199.9</v>
      </c>
      <c r="G250">
        <v>5713</v>
      </c>
      <c r="H250">
        <v>60</v>
      </c>
      <c r="I250">
        <v>87162</v>
      </c>
      <c r="J250">
        <v>206.55</v>
      </c>
      <c r="K250">
        <v>0.27</v>
      </c>
      <c r="L250">
        <v>15235</v>
      </c>
    </row>
    <row r="251" spans="1:12" x14ac:dyDescent="0.35">
      <c r="A251" t="str">
        <f t="shared" si="3"/>
        <v>B-466-B-379-TI</v>
      </c>
      <c r="B251" t="s">
        <v>99</v>
      </c>
      <c r="C251" t="s">
        <v>100</v>
      </c>
      <c r="D251" t="s">
        <v>18</v>
      </c>
      <c r="E251">
        <v>0.44800000000000001</v>
      </c>
      <c r="F251">
        <v>68607.5</v>
      </c>
      <c r="G251">
        <v>8174</v>
      </c>
      <c r="H251">
        <v>47.15</v>
      </c>
      <c r="I251">
        <v>23521</v>
      </c>
      <c r="J251">
        <v>34.28</v>
      </c>
      <c r="K251">
        <v>0.23</v>
      </c>
      <c r="L251">
        <v>27740</v>
      </c>
    </row>
    <row r="252" spans="1:12" x14ac:dyDescent="0.35">
      <c r="A252" t="str">
        <f t="shared" si="3"/>
        <v>B-466-B-388-GRUPO_ARENAS</v>
      </c>
      <c r="B252" t="s">
        <v>99</v>
      </c>
      <c r="C252" t="s">
        <v>101</v>
      </c>
      <c r="D252" t="s">
        <v>37</v>
      </c>
      <c r="E252">
        <v>0.438</v>
      </c>
      <c r="F252">
        <v>42093.9</v>
      </c>
      <c r="G252">
        <v>5016</v>
      </c>
      <c r="H252">
        <v>48.9</v>
      </c>
      <c r="I252">
        <v>14928</v>
      </c>
      <c r="J252">
        <v>35.46</v>
      </c>
      <c r="K252">
        <v>0.23</v>
      </c>
      <c r="L252">
        <v>16639</v>
      </c>
    </row>
    <row r="253" spans="1:12" x14ac:dyDescent="0.35">
      <c r="A253" t="str">
        <f t="shared" si="3"/>
        <v>B-466-B-406-TS</v>
      </c>
      <c r="B253" t="s">
        <v>99</v>
      </c>
      <c r="C253" t="s">
        <v>102</v>
      </c>
      <c r="D253" t="s">
        <v>20</v>
      </c>
      <c r="E253">
        <v>0.46</v>
      </c>
      <c r="F253">
        <v>280949</v>
      </c>
      <c r="G253">
        <v>53232</v>
      </c>
      <c r="H253">
        <v>56.74</v>
      </c>
      <c r="I253">
        <v>187129</v>
      </c>
      <c r="J253">
        <v>66.61</v>
      </c>
      <c r="K253">
        <v>0.31</v>
      </c>
      <c r="L253">
        <v>116656</v>
      </c>
    </row>
    <row r="254" spans="1:12" x14ac:dyDescent="0.35">
      <c r="A254" t="str">
        <f t="shared" si="3"/>
        <v>B-466-B-491-GRUPO_ARENAS</v>
      </c>
      <c r="B254" t="s">
        <v>99</v>
      </c>
      <c r="C254" t="s">
        <v>39</v>
      </c>
      <c r="D254" t="s">
        <v>37</v>
      </c>
      <c r="E254">
        <v>0.46100000000000002</v>
      </c>
      <c r="F254">
        <v>119026.7</v>
      </c>
      <c r="G254">
        <v>11723</v>
      </c>
      <c r="H254">
        <v>40.42</v>
      </c>
      <c r="I254">
        <v>30201</v>
      </c>
      <c r="J254">
        <v>25.37</v>
      </c>
      <c r="K254">
        <v>0.19</v>
      </c>
      <c r="L254">
        <v>49509</v>
      </c>
    </row>
    <row r="255" spans="1:12" x14ac:dyDescent="0.35">
      <c r="A255" t="str">
        <f t="shared" si="3"/>
        <v>B-466-B-550-TS</v>
      </c>
      <c r="B255" t="s">
        <v>99</v>
      </c>
      <c r="C255" t="s">
        <v>31</v>
      </c>
      <c r="D255" t="s">
        <v>20</v>
      </c>
      <c r="E255">
        <v>0.49099999999999999</v>
      </c>
      <c r="F255">
        <v>176981.3</v>
      </c>
      <c r="G255">
        <v>28602</v>
      </c>
      <c r="H255">
        <v>48.4</v>
      </c>
      <c r="I255">
        <v>84279</v>
      </c>
      <c r="J255">
        <v>47.62</v>
      </c>
      <c r="K255">
        <v>0.27</v>
      </c>
      <c r="L255">
        <v>78417</v>
      </c>
    </row>
    <row r="256" spans="1:12" x14ac:dyDescent="0.35">
      <c r="A256" t="str">
        <f t="shared" si="3"/>
        <v>B-467-B-19-VIOLETA</v>
      </c>
      <c r="B256" t="s">
        <v>103</v>
      </c>
      <c r="C256" t="s">
        <v>63</v>
      </c>
      <c r="D256" t="s">
        <v>26</v>
      </c>
      <c r="E256">
        <v>0.48099999999999998</v>
      </c>
      <c r="F256">
        <v>5911.9</v>
      </c>
      <c r="G256">
        <v>604</v>
      </c>
      <c r="H256">
        <v>51.72</v>
      </c>
      <c r="I256">
        <v>1599</v>
      </c>
      <c r="J256">
        <v>27.04</v>
      </c>
      <c r="K256">
        <v>0.2</v>
      </c>
      <c r="L256">
        <v>2441</v>
      </c>
    </row>
    <row r="257" spans="1:12" x14ac:dyDescent="0.35">
      <c r="A257" t="str">
        <f t="shared" si="3"/>
        <v>B-467-B-19-ROJO</v>
      </c>
      <c r="B257" t="s">
        <v>103</v>
      </c>
      <c r="C257" t="s">
        <v>63</v>
      </c>
      <c r="D257" t="s">
        <v>27</v>
      </c>
      <c r="E257">
        <v>0.496</v>
      </c>
      <c r="F257">
        <v>8847</v>
      </c>
      <c r="G257">
        <v>793</v>
      </c>
      <c r="H257">
        <v>32.619999999999997</v>
      </c>
      <c r="I257">
        <v>1768</v>
      </c>
      <c r="J257">
        <v>19.989999999999998</v>
      </c>
      <c r="K257">
        <v>0.17</v>
      </c>
      <c r="L257">
        <v>3764</v>
      </c>
    </row>
    <row r="258" spans="1:12" x14ac:dyDescent="0.35">
      <c r="A258" t="str">
        <f t="shared" si="3"/>
        <v>B-467-B-19-AZUL</v>
      </c>
      <c r="B258" t="s">
        <v>103</v>
      </c>
      <c r="C258" t="s">
        <v>63</v>
      </c>
      <c r="D258" t="s">
        <v>28</v>
      </c>
      <c r="E258">
        <v>0.54600000000000004</v>
      </c>
      <c r="F258">
        <v>6898.8</v>
      </c>
      <c r="G258">
        <v>322</v>
      </c>
      <c r="H258">
        <v>23.65</v>
      </c>
      <c r="I258">
        <v>710</v>
      </c>
      <c r="J258">
        <v>10.3</v>
      </c>
      <c r="K258">
        <v>0.09</v>
      </c>
      <c r="L258">
        <v>3231</v>
      </c>
    </row>
    <row r="259" spans="1:12" x14ac:dyDescent="0.35">
      <c r="A259" t="str">
        <f t="shared" ref="A259:A322" si="4">CONCATENATE(B259,"-",C259,"-",D259)</f>
        <v>B-467-B-19-VERDE</v>
      </c>
      <c r="B259" t="s">
        <v>103</v>
      </c>
      <c r="C259" t="s">
        <v>63</v>
      </c>
      <c r="D259" t="s">
        <v>29</v>
      </c>
      <c r="E259">
        <v>0.57099999999999995</v>
      </c>
      <c r="F259">
        <v>18347.3</v>
      </c>
      <c r="G259">
        <v>460</v>
      </c>
      <c r="H259">
        <v>9.1300000000000008</v>
      </c>
      <c r="I259">
        <v>1018</v>
      </c>
      <c r="J259">
        <v>5.55</v>
      </c>
      <c r="K259">
        <v>0.05</v>
      </c>
      <c r="L259">
        <v>8989</v>
      </c>
    </row>
    <row r="260" spans="1:12" x14ac:dyDescent="0.35">
      <c r="A260" t="str">
        <f t="shared" si="4"/>
        <v>B-467-B-19-TI</v>
      </c>
      <c r="B260" t="s">
        <v>103</v>
      </c>
      <c r="C260" t="s">
        <v>63</v>
      </c>
      <c r="D260" t="s">
        <v>18</v>
      </c>
      <c r="E260">
        <v>0.40400000000000003</v>
      </c>
      <c r="F260">
        <v>56426.3</v>
      </c>
      <c r="G260">
        <v>8977</v>
      </c>
      <c r="H260">
        <v>62.96</v>
      </c>
      <c r="I260">
        <v>35804</v>
      </c>
      <c r="J260">
        <v>63.45</v>
      </c>
      <c r="K260">
        <v>0.3</v>
      </c>
      <c r="L260">
        <v>20560</v>
      </c>
    </row>
    <row r="261" spans="1:12" x14ac:dyDescent="0.35">
      <c r="A261" t="str">
        <f t="shared" si="4"/>
        <v>B-467-B-19-GRUPO_ARENAS</v>
      </c>
      <c r="B261" t="s">
        <v>103</v>
      </c>
      <c r="C261" t="s">
        <v>63</v>
      </c>
      <c r="D261" t="s">
        <v>37</v>
      </c>
      <c r="E261">
        <v>0.41</v>
      </c>
      <c r="F261">
        <v>61567.1</v>
      </c>
      <c r="G261">
        <v>8884</v>
      </c>
      <c r="H261">
        <v>59.21</v>
      </c>
      <c r="I261">
        <v>32874</v>
      </c>
      <c r="J261">
        <v>53.4</v>
      </c>
      <c r="K261">
        <v>0.28000000000000003</v>
      </c>
      <c r="L261">
        <v>22789</v>
      </c>
    </row>
    <row r="262" spans="1:12" x14ac:dyDescent="0.35">
      <c r="A262" t="str">
        <f t="shared" si="4"/>
        <v>B-467-B-20-VIOLETA</v>
      </c>
      <c r="B262" t="s">
        <v>103</v>
      </c>
      <c r="C262" t="s">
        <v>104</v>
      </c>
      <c r="D262" t="s">
        <v>26</v>
      </c>
      <c r="E262">
        <v>0.58499999999999996</v>
      </c>
      <c r="F262">
        <v>2736.2</v>
      </c>
      <c r="G262">
        <v>35</v>
      </c>
      <c r="H262">
        <v>6.43</v>
      </c>
      <c r="I262">
        <v>77</v>
      </c>
      <c r="J262">
        <v>2.81</v>
      </c>
      <c r="K262">
        <v>0.02</v>
      </c>
      <c r="L262">
        <v>1374</v>
      </c>
    </row>
    <row r="263" spans="1:12" x14ac:dyDescent="0.35">
      <c r="A263" t="str">
        <f t="shared" si="4"/>
        <v>B-467-B-20-ROJO</v>
      </c>
      <c r="B263" t="s">
        <v>103</v>
      </c>
      <c r="C263" t="s">
        <v>104</v>
      </c>
      <c r="D263" t="s">
        <v>27</v>
      </c>
      <c r="E263">
        <v>0.59099999999999997</v>
      </c>
      <c r="F263">
        <v>3309.1</v>
      </c>
      <c r="G263">
        <v>24</v>
      </c>
      <c r="H263">
        <v>2.69</v>
      </c>
      <c r="I263">
        <v>54</v>
      </c>
      <c r="J263">
        <v>1.64</v>
      </c>
      <c r="K263">
        <v>0.01</v>
      </c>
      <c r="L263">
        <v>1680</v>
      </c>
    </row>
    <row r="264" spans="1:12" x14ac:dyDescent="0.35">
      <c r="A264" t="str">
        <f t="shared" si="4"/>
        <v>B-467-B-20-AZUL</v>
      </c>
      <c r="B264" t="s">
        <v>103</v>
      </c>
      <c r="C264" t="s">
        <v>104</v>
      </c>
      <c r="D264" t="s">
        <v>28</v>
      </c>
      <c r="E264">
        <v>0.58399999999999996</v>
      </c>
      <c r="F264">
        <v>4424.3</v>
      </c>
      <c r="G264">
        <v>60</v>
      </c>
      <c r="H264">
        <v>6.84</v>
      </c>
      <c r="I264">
        <v>132</v>
      </c>
      <c r="J264">
        <v>2.99</v>
      </c>
      <c r="K264">
        <v>0.03</v>
      </c>
      <c r="L264">
        <v>2219</v>
      </c>
    </row>
    <row r="265" spans="1:12" x14ac:dyDescent="0.35">
      <c r="A265" t="str">
        <f t="shared" si="4"/>
        <v>B-467-B-20-VERDE</v>
      </c>
      <c r="B265" t="s">
        <v>103</v>
      </c>
      <c r="C265" t="s">
        <v>104</v>
      </c>
      <c r="D265" t="s">
        <v>29</v>
      </c>
      <c r="E265">
        <v>0.59499999999999997</v>
      </c>
      <c r="F265">
        <v>17534.3</v>
      </c>
      <c r="G265">
        <v>73</v>
      </c>
      <c r="H265">
        <v>1.52</v>
      </c>
      <c r="I265">
        <v>162</v>
      </c>
      <c r="J265">
        <v>0.92</v>
      </c>
      <c r="K265">
        <v>0.01</v>
      </c>
      <c r="L265">
        <v>8957</v>
      </c>
    </row>
    <row r="266" spans="1:12" x14ac:dyDescent="0.35">
      <c r="A266" t="str">
        <f t="shared" si="4"/>
        <v>B-467-B-20-TI</v>
      </c>
      <c r="B266" t="s">
        <v>103</v>
      </c>
      <c r="C266" t="s">
        <v>104</v>
      </c>
      <c r="D266" t="s">
        <v>18</v>
      </c>
      <c r="E266">
        <v>0.44900000000000001</v>
      </c>
      <c r="F266">
        <v>81947</v>
      </c>
      <c r="G266">
        <v>9709</v>
      </c>
      <c r="H266">
        <v>46.88</v>
      </c>
      <c r="I266">
        <v>27800</v>
      </c>
      <c r="J266">
        <v>33.92</v>
      </c>
      <c r="K266">
        <v>0.23</v>
      </c>
      <c r="L266">
        <v>33188</v>
      </c>
    </row>
    <row r="267" spans="1:12" x14ac:dyDescent="0.35">
      <c r="A267" t="str">
        <f t="shared" si="4"/>
        <v>B-467-B-20-GRUPO_ARENAS</v>
      </c>
      <c r="B267" t="s">
        <v>103</v>
      </c>
      <c r="C267" t="s">
        <v>104</v>
      </c>
      <c r="D267" t="s">
        <v>37</v>
      </c>
      <c r="E267">
        <v>0.42099999999999999</v>
      </c>
      <c r="F267">
        <v>38171.300000000003</v>
      </c>
      <c r="G267">
        <v>5134</v>
      </c>
      <c r="H267">
        <v>55.2</v>
      </c>
      <c r="I267">
        <v>17464</v>
      </c>
      <c r="J267">
        <v>45.75</v>
      </c>
      <c r="K267">
        <v>0.26</v>
      </c>
      <c r="L267">
        <v>14502</v>
      </c>
    </row>
    <row r="268" spans="1:12" x14ac:dyDescent="0.35">
      <c r="A268" t="str">
        <f t="shared" si="4"/>
        <v>B-467-B-40-TI</v>
      </c>
      <c r="B268" t="s">
        <v>103</v>
      </c>
      <c r="C268" t="s">
        <v>19</v>
      </c>
      <c r="D268" t="s">
        <v>18</v>
      </c>
      <c r="E268">
        <v>0.43099999999999999</v>
      </c>
      <c r="F268">
        <v>95176</v>
      </c>
      <c r="G268">
        <v>12759</v>
      </c>
      <c r="H268">
        <v>53.05</v>
      </c>
      <c r="I268">
        <v>41405</v>
      </c>
      <c r="J268">
        <v>43.5</v>
      </c>
      <c r="K268">
        <v>0.26</v>
      </c>
      <c r="L268">
        <v>37063</v>
      </c>
    </row>
    <row r="269" spans="1:12" x14ac:dyDescent="0.35">
      <c r="A269" t="str">
        <f t="shared" si="4"/>
        <v>B-467-B-40-GRUPO_ARENAS</v>
      </c>
      <c r="B269" t="s">
        <v>103</v>
      </c>
      <c r="C269" t="s">
        <v>19</v>
      </c>
      <c r="D269" t="s">
        <v>37</v>
      </c>
      <c r="E269">
        <v>0.41099999999999998</v>
      </c>
      <c r="F269">
        <v>49148.2</v>
      </c>
      <c r="G269">
        <v>7054</v>
      </c>
      <c r="H269">
        <v>58.9</v>
      </c>
      <c r="I269">
        <v>25933</v>
      </c>
      <c r="J269">
        <v>52.77</v>
      </c>
      <c r="K269">
        <v>0.28000000000000003</v>
      </c>
      <c r="L269">
        <v>18230</v>
      </c>
    </row>
    <row r="270" spans="1:12" x14ac:dyDescent="0.35">
      <c r="A270" t="str">
        <f t="shared" si="4"/>
        <v>B-467-B-338-AZUL</v>
      </c>
      <c r="B270" t="s">
        <v>103</v>
      </c>
      <c r="C270" t="s">
        <v>22</v>
      </c>
      <c r="D270" t="s">
        <v>28</v>
      </c>
      <c r="E270">
        <v>0.59499999999999997</v>
      </c>
      <c r="F270">
        <v>8152</v>
      </c>
      <c r="G270">
        <v>36</v>
      </c>
      <c r="H270">
        <v>2.2400000000000002</v>
      </c>
      <c r="I270">
        <v>80</v>
      </c>
      <c r="J270">
        <v>0.98</v>
      </c>
      <c r="K270">
        <v>0.01</v>
      </c>
      <c r="L270">
        <v>4162</v>
      </c>
    </row>
    <row r="271" spans="1:12" x14ac:dyDescent="0.35">
      <c r="A271" t="str">
        <f t="shared" si="4"/>
        <v>B-467-B-338-TI</v>
      </c>
      <c r="B271" t="s">
        <v>103</v>
      </c>
      <c r="C271" t="s">
        <v>22</v>
      </c>
      <c r="D271" t="s">
        <v>18</v>
      </c>
      <c r="E271">
        <v>0.41499999999999998</v>
      </c>
      <c r="F271">
        <v>38209.1</v>
      </c>
      <c r="G271">
        <v>5705</v>
      </c>
      <c r="H271">
        <v>59.09</v>
      </c>
      <c r="I271">
        <v>21057</v>
      </c>
      <c r="J271">
        <v>55.11</v>
      </c>
      <c r="K271">
        <v>0.28999999999999998</v>
      </c>
      <c r="L271">
        <v>14296</v>
      </c>
    </row>
    <row r="272" spans="1:12" x14ac:dyDescent="0.35">
      <c r="A272" t="str">
        <f t="shared" si="4"/>
        <v>B-467-B-338-GRUPO_ARENAS</v>
      </c>
      <c r="B272" t="s">
        <v>103</v>
      </c>
      <c r="C272" t="s">
        <v>22</v>
      </c>
      <c r="D272" t="s">
        <v>37</v>
      </c>
      <c r="E272">
        <v>0.40799999999999997</v>
      </c>
      <c r="F272">
        <v>64488.2</v>
      </c>
      <c r="G272">
        <v>9437</v>
      </c>
      <c r="H272">
        <v>60.05</v>
      </c>
      <c r="I272">
        <v>35519</v>
      </c>
      <c r="J272">
        <v>55.08</v>
      </c>
      <c r="K272">
        <v>0.28000000000000003</v>
      </c>
      <c r="L272">
        <v>23738</v>
      </c>
    </row>
    <row r="273" spans="1:12" x14ac:dyDescent="0.35">
      <c r="A273" t="str">
        <f t="shared" si="4"/>
        <v>B-467-B-462-VERDE</v>
      </c>
      <c r="B273" t="s">
        <v>103</v>
      </c>
      <c r="C273" t="s">
        <v>23</v>
      </c>
      <c r="D273" t="s">
        <v>29</v>
      </c>
      <c r="E273">
        <v>0.59699999999999998</v>
      </c>
      <c r="F273">
        <v>35428.5</v>
      </c>
      <c r="G273">
        <v>81</v>
      </c>
      <c r="H273">
        <v>0.83</v>
      </c>
      <c r="I273">
        <v>180</v>
      </c>
      <c r="J273">
        <v>0.51</v>
      </c>
      <c r="K273">
        <v>0</v>
      </c>
      <c r="L273">
        <v>18165</v>
      </c>
    </row>
    <row r="274" spans="1:12" x14ac:dyDescent="0.35">
      <c r="A274" t="str">
        <f t="shared" si="4"/>
        <v>B-467-B-462-TI</v>
      </c>
      <c r="B274" t="s">
        <v>103</v>
      </c>
      <c r="C274" t="s">
        <v>23</v>
      </c>
      <c r="D274" t="s">
        <v>18</v>
      </c>
      <c r="E274">
        <v>0.43099999999999999</v>
      </c>
      <c r="F274">
        <v>79602.3</v>
      </c>
      <c r="G274">
        <v>10705</v>
      </c>
      <c r="H274">
        <v>53.22</v>
      </c>
      <c r="I274">
        <v>34871</v>
      </c>
      <c r="J274">
        <v>43.81</v>
      </c>
      <c r="K274">
        <v>0.26</v>
      </c>
      <c r="L274">
        <v>30964</v>
      </c>
    </row>
    <row r="275" spans="1:12" x14ac:dyDescent="0.35">
      <c r="A275" t="str">
        <f t="shared" si="4"/>
        <v>B-467-B-462-GRUPO_ARENAS</v>
      </c>
      <c r="B275" t="s">
        <v>103</v>
      </c>
      <c r="C275" t="s">
        <v>23</v>
      </c>
      <c r="D275" t="s">
        <v>37</v>
      </c>
      <c r="E275">
        <v>0.378</v>
      </c>
      <c r="F275">
        <v>73539.8</v>
      </c>
      <c r="G275">
        <v>12740</v>
      </c>
      <c r="H275">
        <v>71.09</v>
      </c>
      <c r="I275">
        <v>59859</v>
      </c>
      <c r="J275">
        <v>81.400000000000006</v>
      </c>
      <c r="K275">
        <v>0.34</v>
      </c>
      <c r="L275">
        <v>25092</v>
      </c>
    </row>
    <row r="276" spans="1:12" x14ac:dyDescent="0.35">
      <c r="A276" t="str">
        <f t="shared" si="4"/>
        <v>B-467-B-484-VIOLETA</v>
      </c>
      <c r="B276" t="s">
        <v>103</v>
      </c>
      <c r="C276" t="s">
        <v>66</v>
      </c>
      <c r="D276" t="s">
        <v>26</v>
      </c>
      <c r="E276">
        <v>0.48099999999999998</v>
      </c>
      <c r="F276">
        <v>4374.3</v>
      </c>
      <c r="G276">
        <v>446</v>
      </c>
      <c r="H276">
        <v>51.68</v>
      </c>
      <c r="I276">
        <v>1181</v>
      </c>
      <c r="J276">
        <v>27.01</v>
      </c>
      <c r="K276">
        <v>0.2</v>
      </c>
      <c r="L276">
        <v>1807</v>
      </c>
    </row>
    <row r="277" spans="1:12" x14ac:dyDescent="0.35">
      <c r="A277" t="str">
        <f t="shared" si="4"/>
        <v>B-467-B-484-ROJO</v>
      </c>
      <c r="B277" t="s">
        <v>103</v>
      </c>
      <c r="C277" t="s">
        <v>66</v>
      </c>
      <c r="D277" t="s">
        <v>27</v>
      </c>
      <c r="E277">
        <v>0.502</v>
      </c>
      <c r="F277">
        <v>6893.5</v>
      </c>
      <c r="G277">
        <v>583</v>
      </c>
      <c r="H277">
        <v>30.77</v>
      </c>
      <c r="I277">
        <v>1294</v>
      </c>
      <c r="J277">
        <v>18.77</v>
      </c>
      <c r="K277">
        <v>0.16</v>
      </c>
      <c r="L277">
        <v>2968</v>
      </c>
    </row>
    <row r="278" spans="1:12" x14ac:dyDescent="0.35">
      <c r="A278" t="str">
        <f t="shared" si="4"/>
        <v>B-467-B-484-AZUL</v>
      </c>
      <c r="B278" t="s">
        <v>103</v>
      </c>
      <c r="C278" t="s">
        <v>66</v>
      </c>
      <c r="D278" t="s">
        <v>28</v>
      </c>
      <c r="E278">
        <v>0.53800000000000003</v>
      </c>
      <c r="F278">
        <v>5273.9</v>
      </c>
      <c r="G278">
        <v>279</v>
      </c>
      <c r="H278">
        <v>26.77</v>
      </c>
      <c r="I278">
        <v>616</v>
      </c>
      <c r="J278">
        <v>11.67</v>
      </c>
      <c r="K278">
        <v>0.1</v>
      </c>
      <c r="L278">
        <v>2437</v>
      </c>
    </row>
    <row r="279" spans="1:12" x14ac:dyDescent="0.35">
      <c r="A279" t="str">
        <f t="shared" si="4"/>
        <v>B-467-B-484-VERDE</v>
      </c>
      <c r="B279" t="s">
        <v>103</v>
      </c>
      <c r="C279" t="s">
        <v>66</v>
      </c>
      <c r="D279" t="s">
        <v>29</v>
      </c>
      <c r="E279">
        <v>0.56899999999999995</v>
      </c>
      <c r="F279">
        <v>18299.099999999999</v>
      </c>
      <c r="G279">
        <v>479</v>
      </c>
      <c r="H279">
        <v>9.5399999999999991</v>
      </c>
      <c r="I279">
        <v>1061</v>
      </c>
      <c r="J279">
        <v>5.8</v>
      </c>
      <c r="K279">
        <v>0.05</v>
      </c>
      <c r="L279">
        <v>8945</v>
      </c>
    </row>
    <row r="280" spans="1:12" x14ac:dyDescent="0.35">
      <c r="A280" t="str">
        <f t="shared" si="4"/>
        <v>B-467-B-484-TI</v>
      </c>
      <c r="B280" t="s">
        <v>103</v>
      </c>
      <c r="C280" t="s">
        <v>66</v>
      </c>
      <c r="D280" t="s">
        <v>18</v>
      </c>
      <c r="E280">
        <v>0.44400000000000001</v>
      </c>
      <c r="F280">
        <v>62270</v>
      </c>
      <c r="G280">
        <v>7621</v>
      </c>
      <c r="H280">
        <v>48.43</v>
      </c>
      <c r="I280">
        <v>22472</v>
      </c>
      <c r="J280">
        <v>36.090000000000003</v>
      </c>
      <c r="K280">
        <v>0.23</v>
      </c>
      <c r="L280">
        <v>24975</v>
      </c>
    </row>
    <row r="281" spans="1:12" x14ac:dyDescent="0.35">
      <c r="A281" t="str">
        <f t="shared" si="4"/>
        <v>B-467-B-484-GRUPO_ARENAS</v>
      </c>
      <c r="B281" t="s">
        <v>103</v>
      </c>
      <c r="C281" t="s">
        <v>66</v>
      </c>
      <c r="D281" t="s">
        <v>37</v>
      </c>
      <c r="E281">
        <v>0.47499999999999998</v>
      </c>
      <c r="F281">
        <v>50651</v>
      </c>
      <c r="G281">
        <v>4321</v>
      </c>
      <c r="H281">
        <v>35.01</v>
      </c>
      <c r="I281">
        <v>10372</v>
      </c>
      <c r="J281">
        <v>20.48</v>
      </c>
      <c r="K281">
        <v>0.17</v>
      </c>
      <c r="L281">
        <v>21735</v>
      </c>
    </row>
    <row r="282" spans="1:12" x14ac:dyDescent="0.35">
      <c r="A282" t="str">
        <f t="shared" si="4"/>
        <v>B-469-B-20-TS</v>
      </c>
      <c r="B282" t="s">
        <v>105</v>
      </c>
      <c r="C282" t="s">
        <v>104</v>
      </c>
      <c r="D282" t="s">
        <v>20</v>
      </c>
      <c r="E282">
        <v>0.443</v>
      </c>
      <c r="F282">
        <v>54431.1</v>
      </c>
      <c r="G282">
        <v>11172</v>
      </c>
      <c r="H282">
        <v>61.46</v>
      </c>
      <c r="I282">
        <v>43254</v>
      </c>
      <c r="J282">
        <v>79.47</v>
      </c>
      <c r="K282">
        <v>0.34</v>
      </c>
      <c r="L282">
        <v>21742</v>
      </c>
    </row>
    <row r="283" spans="1:12" x14ac:dyDescent="0.35">
      <c r="A283" t="str">
        <f t="shared" si="4"/>
        <v>B-469-B-20-TI</v>
      </c>
      <c r="B283" t="s">
        <v>105</v>
      </c>
      <c r="C283" t="s">
        <v>104</v>
      </c>
      <c r="D283" t="s">
        <v>18</v>
      </c>
      <c r="E283">
        <v>0.45300000000000001</v>
      </c>
      <c r="F283">
        <v>77203.600000000006</v>
      </c>
      <c r="G283">
        <v>8825</v>
      </c>
      <c r="H283">
        <v>45.23</v>
      </c>
      <c r="I283">
        <v>24538</v>
      </c>
      <c r="J283">
        <v>31.78</v>
      </c>
      <c r="K283">
        <v>0.22</v>
      </c>
      <c r="L283">
        <v>31588</v>
      </c>
    </row>
    <row r="284" spans="1:12" x14ac:dyDescent="0.35">
      <c r="A284" t="str">
        <f t="shared" si="4"/>
        <v>B-469-B-20-GRUPO_ARENAS</v>
      </c>
      <c r="B284" t="s">
        <v>105</v>
      </c>
      <c r="C284" t="s">
        <v>104</v>
      </c>
      <c r="D284" t="s">
        <v>37</v>
      </c>
      <c r="E284">
        <v>0.41899999999999998</v>
      </c>
      <c r="F284">
        <v>45773.5</v>
      </c>
      <c r="G284">
        <v>6221</v>
      </c>
      <c r="H284">
        <v>55.77</v>
      </c>
      <c r="I284">
        <v>21421</v>
      </c>
      <c r="J284">
        <v>46.8</v>
      </c>
      <c r="K284">
        <v>0.26</v>
      </c>
      <c r="L284">
        <v>17327</v>
      </c>
    </row>
    <row r="285" spans="1:12" x14ac:dyDescent="0.35">
      <c r="A285" t="str">
        <f t="shared" si="4"/>
        <v>B-469-B-27-TI</v>
      </c>
      <c r="B285" t="s">
        <v>105</v>
      </c>
      <c r="C285" t="s">
        <v>36</v>
      </c>
      <c r="D285" t="s">
        <v>18</v>
      </c>
      <c r="E285">
        <v>0.41499999999999998</v>
      </c>
      <c r="F285">
        <v>108320.6</v>
      </c>
      <c r="G285">
        <v>16156</v>
      </c>
      <c r="H285">
        <v>59.02</v>
      </c>
      <c r="I285">
        <v>59546</v>
      </c>
      <c r="J285">
        <v>54.97</v>
      </c>
      <c r="K285">
        <v>0.28000000000000003</v>
      </c>
      <c r="L285">
        <v>40546</v>
      </c>
    </row>
    <row r="286" spans="1:12" x14ac:dyDescent="0.35">
      <c r="A286" t="str">
        <f t="shared" si="4"/>
        <v>B-469-B-27-GRUPO_ARENAS</v>
      </c>
      <c r="B286" t="s">
        <v>105</v>
      </c>
      <c r="C286" t="s">
        <v>36</v>
      </c>
      <c r="D286" t="s">
        <v>37</v>
      </c>
      <c r="E286">
        <v>0.44</v>
      </c>
      <c r="F286">
        <v>154582.39999999999</v>
      </c>
      <c r="G286">
        <v>18179</v>
      </c>
      <c r="H286">
        <v>48.26</v>
      </c>
      <c r="I286">
        <v>53426</v>
      </c>
      <c r="J286">
        <v>34.56</v>
      </c>
      <c r="K286">
        <v>0.23</v>
      </c>
      <c r="L286">
        <v>61344</v>
      </c>
    </row>
    <row r="287" spans="1:12" x14ac:dyDescent="0.35">
      <c r="A287" t="str">
        <f t="shared" si="4"/>
        <v>B-469-B-38-TI</v>
      </c>
      <c r="B287" t="s">
        <v>105</v>
      </c>
      <c r="C287" t="s">
        <v>70</v>
      </c>
      <c r="D287" t="s">
        <v>18</v>
      </c>
      <c r="E287">
        <v>0.42599999999999999</v>
      </c>
      <c r="F287">
        <v>39431.800000000003</v>
      </c>
      <c r="G287">
        <v>5470</v>
      </c>
      <c r="H287">
        <v>54.9</v>
      </c>
      <c r="I287">
        <v>18484</v>
      </c>
      <c r="J287">
        <v>46.88</v>
      </c>
      <c r="K287">
        <v>0.27</v>
      </c>
      <c r="L287">
        <v>15171</v>
      </c>
    </row>
    <row r="288" spans="1:12" x14ac:dyDescent="0.35">
      <c r="A288" t="str">
        <f t="shared" si="4"/>
        <v>B-469-B-38-GRUPO_ARENAS</v>
      </c>
      <c r="B288" t="s">
        <v>105</v>
      </c>
      <c r="C288" t="s">
        <v>70</v>
      </c>
      <c r="D288" t="s">
        <v>37</v>
      </c>
      <c r="E288">
        <v>0.441</v>
      </c>
      <c r="F288">
        <v>42116.2</v>
      </c>
      <c r="G288">
        <v>4917</v>
      </c>
      <c r="H288">
        <v>47.91</v>
      </c>
      <c r="I288">
        <v>14352</v>
      </c>
      <c r="J288">
        <v>34.08</v>
      </c>
      <c r="K288">
        <v>0.23</v>
      </c>
      <c r="L288">
        <v>16750</v>
      </c>
    </row>
    <row r="289" spans="1:12" x14ac:dyDescent="0.35">
      <c r="A289" t="str">
        <f t="shared" si="4"/>
        <v>B-469-B-40-TI</v>
      </c>
      <c r="B289" t="s">
        <v>105</v>
      </c>
      <c r="C289" t="s">
        <v>19</v>
      </c>
      <c r="D289" t="s">
        <v>18</v>
      </c>
      <c r="E289">
        <v>0.437</v>
      </c>
      <c r="F289">
        <v>45545.5</v>
      </c>
      <c r="G289">
        <v>5859</v>
      </c>
      <c r="H289">
        <v>50.9</v>
      </c>
      <c r="I289">
        <v>18159</v>
      </c>
      <c r="J289">
        <v>39.869999999999997</v>
      </c>
      <c r="K289">
        <v>0.25</v>
      </c>
      <c r="L289">
        <v>17983</v>
      </c>
    </row>
    <row r="290" spans="1:12" x14ac:dyDescent="0.35">
      <c r="A290" t="str">
        <f t="shared" si="4"/>
        <v>B-469-B-40-GRUPO_ARENAS</v>
      </c>
      <c r="B290" t="s">
        <v>105</v>
      </c>
      <c r="C290" t="s">
        <v>19</v>
      </c>
      <c r="D290" t="s">
        <v>37</v>
      </c>
      <c r="E290">
        <v>0.40899999999999997</v>
      </c>
      <c r="F290">
        <v>42609.4</v>
      </c>
      <c r="G290">
        <v>6191</v>
      </c>
      <c r="H290">
        <v>59.63</v>
      </c>
      <c r="I290">
        <v>23105</v>
      </c>
      <c r="J290">
        <v>54.22</v>
      </c>
      <c r="K290">
        <v>0.28000000000000003</v>
      </c>
      <c r="L290">
        <v>15729</v>
      </c>
    </row>
    <row r="291" spans="1:12" x14ac:dyDescent="0.35">
      <c r="A291" t="str">
        <f t="shared" si="4"/>
        <v>B-469-B-378-TI</v>
      </c>
      <c r="B291" t="s">
        <v>105</v>
      </c>
      <c r="C291" t="s">
        <v>71</v>
      </c>
      <c r="D291" t="s">
        <v>18</v>
      </c>
      <c r="E291">
        <v>0.42599999999999999</v>
      </c>
      <c r="F291">
        <v>39568.300000000003</v>
      </c>
      <c r="G291">
        <v>5487</v>
      </c>
      <c r="H291">
        <v>54.88</v>
      </c>
      <c r="I291">
        <v>18533</v>
      </c>
      <c r="J291">
        <v>46.84</v>
      </c>
      <c r="K291">
        <v>0.26</v>
      </c>
      <c r="L291">
        <v>15225</v>
      </c>
    </row>
    <row r="292" spans="1:12" x14ac:dyDescent="0.35">
      <c r="A292" t="str">
        <f t="shared" si="4"/>
        <v>B-469-B-378-GRUPO_ARENAS</v>
      </c>
      <c r="B292" t="s">
        <v>105</v>
      </c>
      <c r="C292" t="s">
        <v>71</v>
      </c>
      <c r="D292" t="s">
        <v>37</v>
      </c>
      <c r="E292">
        <v>0.434</v>
      </c>
      <c r="F292">
        <v>92359.8</v>
      </c>
      <c r="G292">
        <v>11318</v>
      </c>
      <c r="H292">
        <v>50.29</v>
      </c>
      <c r="I292">
        <v>34636</v>
      </c>
      <c r="J292">
        <v>37.5</v>
      </c>
      <c r="K292">
        <v>0.24</v>
      </c>
      <c r="L292">
        <v>36196</v>
      </c>
    </row>
    <row r="293" spans="1:12" x14ac:dyDescent="0.35">
      <c r="A293" t="str">
        <f t="shared" si="4"/>
        <v>B-469-B-484-TS</v>
      </c>
      <c r="B293" t="s">
        <v>105</v>
      </c>
      <c r="C293" t="s">
        <v>66</v>
      </c>
      <c r="D293" t="s">
        <v>20</v>
      </c>
      <c r="E293">
        <v>0.49299999999999999</v>
      </c>
      <c r="F293">
        <v>67852.899999999994</v>
      </c>
      <c r="G293">
        <v>10852</v>
      </c>
      <c r="H293">
        <v>47.89</v>
      </c>
      <c r="I293">
        <v>31669</v>
      </c>
      <c r="J293">
        <v>46.67</v>
      </c>
      <c r="K293">
        <v>0.26</v>
      </c>
      <c r="L293">
        <v>30178</v>
      </c>
    </row>
    <row r="294" spans="1:12" x14ac:dyDescent="0.35">
      <c r="A294" t="str">
        <f t="shared" si="4"/>
        <v>B-469-B-484-GRUPO_ARENAS</v>
      </c>
      <c r="B294" t="s">
        <v>105</v>
      </c>
      <c r="C294" t="s">
        <v>66</v>
      </c>
      <c r="D294" t="s">
        <v>37</v>
      </c>
      <c r="E294">
        <v>0.47599999999999998</v>
      </c>
      <c r="F294">
        <v>92855.7</v>
      </c>
      <c r="G294">
        <v>7909</v>
      </c>
      <c r="H294">
        <v>34.950000000000003</v>
      </c>
      <c r="I294">
        <v>18969</v>
      </c>
      <c r="J294">
        <v>20.43</v>
      </c>
      <c r="K294">
        <v>0.17</v>
      </c>
      <c r="L294">
        <v>39860</v>
      </c>
    </row>
    <row r="295" spans="1:12" x14ac:dyDescent="0.35">
      <c r="A295" t="str">
        <f t="shared" si="4"/>
        <v>B-469-BBB.x-1-TI</v>
      </c>
      <c r="B295" t="s">
        <v>105</v>
      </c>
      <c r="C295" t="s">
        <v>77</v>
      </c>
      <c r="D295" t="s">
        <v>18</v>
      </c>
      <c r="E295">
        <v>0.433</v>
      </c>
      <c r="F295">
        <v>42965.7</v>
      </c>
      <c r="G295">
        <v>5704</v>
      </c>
      <c r="H295">
        <v>52.54</v>
      </c>
      <c r="I295">
        <v>18309</v>
      </c>
      <c r="J295">
        <v>42.61</v>
      </c>
      <c r="K295">
        <v>0.25</v>
      </c>
      <c r="L295">
        <v>16787</v>
      </c>
    </row>
    <row r="296" spans="1:12" x14ac:dyDescent="0.35">
      <c r="A296" t="str">
        <f t="shared" si="4"/>
        <v>B-469-BBB.x-1-GRUPO_ARENAS</v>
      </c>
      <c r="B296" t="s">
        <v>105</v>
      </c>
      <c r="C296" t="s">
        <v>77</v>
      </c>
      <c r="D296" t="s">
        <v>37</v>
      </c>
      <c r="E296">
        <v>0.43099999999999999</v>
      </c>
      <c r="F296">
        <v>32597.5</v>
      </c>
      <c r="G296">
        <v>4096</v>
      </c>
      <c r="H296">
        <v>51.57</v>
      </c>
      <c r="I296">
        <v>12877</v>
      </c>
      <c r="J296">
        <v>39.5</v>
      </c>
      <c r="K296">
        <v>0.24</v>
      </c>
      <c r="L296">
        <v>12673</v>
      </c>
    </row>
    <row r="297" spans="1:12" x14ac:dyDescent="0.35">
      <c r="A297" t="str">
        <f t="shared" si="4"/>
        <v>B-481-B-26-TS</v>
      </c>
      <c r="B297" t="s">
        <v>106</v>
      </c>
      <c r="C297" t="s">
        <v>59</v>
      </c>
      <c r="D297" t="s">
        <v>20</v>
      </c>
      <c r="E297">
        <v>0.52100000000000002</v>
      </c>
      <c r="F297">
        <v>72046.8</v>
      </c>
      <c r="G297">
        <v>9707</v>
      </c>
      <c r="H297">
        <v>40.35</v>
      </c>
      <c r="I297">
        <v>24984</v>
      </c>
      <c r="J297">
        <v>34.68</v>
      </c>
      <c r="K297">
        <v>0.22</v>
      </c>
      <c r="L297">
        <v>33859</v>
      </c>
    </row>
    <row r="298" spans="1:12" x14ac:dyDescent="0.35">
      <c r="A298" t="str">
        <f t="shared" si="4"/>
        <v>B-481-B-26-TI</v>
      </c>
      <c r="B298" t="s">
        <v>106</v>
      </c>
      <c r="C298" t="s">
        <v>59</v>
      </c>
      <c r="D298" t="s">
        <v>18</v>
      </c>
      <c r="E298">
        <v>0.41499999999999998</v>
      </c>
      <c r="F298">
        <v>65985.7</v>
      </c>
      <c r="G298">
        <v>9842</v>
      </c>
      <c r="H298">
        <v>59.02</v>
      </c>
      <c r="I298">
        <v>36273</v>
      </c>
      <c r="J298">
        <v>54.97</v>
      </c>
      <c r="K298">
        <v>0.28000000000000003</v>
      </c>
      <c r="L298">
        <v>24700</v>
      </c>
    </row>
    <row r="299" spans="1:12" x14ac:dyDescent="0.35">
      <c r="A299" t="str">
        <f t="shared" si="4"/>
        <v>B-481-B-26-GRUPO_ARENAS</v>
      </c>
      <c r="B299" t="s">
        <v>106</v>
      </c>
      <c r="C299" t="s">
        <v>59</v>
      </c>
      <c r="D299" t="s">
        <v>37</v>
      </c>
      <c r="E299">
        <v>0.51600000000000001</v>
      </c>
      <c r="F299">
        <v>67627.5</v>
      </c>
      <c r="G299">
        <v>3291</v>
      </c>
      <c r="H299">
        <v>19.97</v>
      </c>
      <c r="I299">
        <v>6909</v>
      </c>
      <c r="J299">
        <v>10.220000000000001</v>
      </c>
      <c r="K299">
        <v>0.09</v>
      </c>
      <c r="L299">
        <v>31500</v>
      </c>
    </row>
    <row r="300" spans="1:12" x14ac:dyDescent="0.35">
      <c r="A300" t="str">
        <f t="shared" si="4"/>
        <v>B-481-B-53-TI</v>
      </c>
      <c r="B300" t="s">
        <v>106</v>
      </c>
      <c r="C300" t="s">
        <v>107</v>
      </c>
      <c r="D300" t="s">
        <v>18</v>
      </c>
      <c r="E300">
        <v>0.42399999999999999</v>
      </c>
      <c r="F300">
        <v>34744.300000000003</v>
      </c>
      <c r="G300">
        <v>4881</v>
      </c>
      <c r="H300">
        <v>55.59</v>
      </c>
      <c r="I300">
        <v>16744</v>
      </c>
      <c r="J300">
        <v>48.19</v>
      </c>
      <c r="K300">
        <v>0.27</v>
      </c>
      <c r="L300">
        <v>13306</v>
      </c>
    </row>
    <row r="301" spans="1:12" x14ac:dyDescent="0.35">
      <c r="A301" t="str">
        <f t="shared" si="4"/>
        <v>B-481-B-53-GRUPO_ARENAS</v>
      </c>
      <c r="B301" t="s">
        <v>106</v>
      </c>
      <c r="C301" t="s">
        <v>107</v>
      </c>
      <c r="D301" t="s">
        <v>37</v>
      </c>
      <c r="E301">
        <v>0.45</v>
      </c>
      <c r="F301">
        <v>29712.7</v>
      </c>
      <c r="G301">
        <v>3227</v>
      </c>
      <c r="H301">
        <v>44.57</v>
      </c>
      <c r="I301">
        <v>8871</v>
      </c>
      <c r="J301">
        <v>29.86</v>
      </c>
      <c r="K301">
        <v>0.21</v>
      </c>
      <c r="L301">
        <v>12058</v>
      </c>
    </row>
    <row r="302" spans="1:12" x14ac:dyDescent="0.35">
      <c r="A302" t="str">
        <f t="shared" si="4"/>
        <v>B-481-B-294-TS</v>
      </c>
      <c r="B302" t="s">
        <v>106</v>
      </c>
      <c r="C302" t="s">
        <v>60</v>
      </c>
      <c r="D302" t="s">
        <v>20</v>
      </c>
      <c r="E302">
        <v>0.52</v>
      </c>
      <c r="F302">
        <v>124428.4</v>
      </c>
      <c r="G302">
        <v>16803</v>
      </c>
      <c r="H302">
        <v>40.44</v>
      </c>
      <c r="I302">
        <v>43304</v>
      </c>
      <c r="J302">
        <v>34.799999999999997</v>
      </c>
      <c r="K302">
        <v>0.22</v>
      </c>
      <c r="L302">
        <v>58438</v>
      </c>
    </row>
    <row r="303" spans="1:12" x14ac:dyDescent="0.35">
      <c r="A303" t="str">
        <f t="shared" si="4"/>
        <v>B-481-B-325-TS</v>
      </c>
      <c r="B303" t="s">
        <v>106</v>
      </c>
      <c r="C303" t="s">
        <v>55</v>
      </c>
      <c r="D303" t="s">
        <v>20</v>
      </c>
      <c r="E303">
        <v>0.53</v>
      </c>
      <c r="F303">
        <v>42683.3</v>
      </c>
      <c r="G303">
        <v>5401</v>
      </c>
      <c r="H303">
        <v>37.89</v>
      </c>
      <c r="I303">
        <v>13438</v>
      </c>
      <c r="J303">
        <v>31.48</v>
      </c>
      <c r="K303">
        <v>0.21</v>
      </c>
      <c r="L303">
        <v>20410</v>
      </c>
    </row>
    <row r="304" spans="1:12" x14ac:dyDescent="0.35">
      <c r="A304" t="str">
        <f t="shared" si="4"/>
        <v>B-481-B-325-TI</v>
      </c>
      <c r="B304" t="s">
        <v>106</v>
      </c>
      <c r="C304" t="s">
        <v>55</v>
      </c>
      <c r="D304" t="s">
        <v>18</v>
      </c>
      <c r="E304">
        <v>0.439</v>
      </c>
      <c r="F304">
        <v>62456.3</v>
      </c>
      <c r="G304">
        <v>7966</v>
      </c>
      <c r="H304">
        <v>50.47</v>
      </c>
      <c r="I304">
        <v>24471</v>
      </c>
      <c r="J304">
        <v>39.18</v>
      </c>
      <c r="K304">
        <v>0.24</v>
      </c>
      <c r="L304">
        <v>24728</v>
      </c>
    </row>
    <row r="305" spans="1:12" x14ac:dyDescent="0.35">
      <c r="A305" t="str">
        <f t="shared" si="4"/>
        <v>B-481-B-325-GRUPO_ARENAS</v>
      </c>
      <c r="B305" t="s">
        <v>106</v>
      </c>
      <c r="C305" t="s">
        <v>55</v>
      </c>
      <c r="D305" t="s">
        <v>37</v>
      </c>
      <c r="E305">
        <v>0.39900000000000002</v>
      </c>
      <c r="F305">
        <v>39421.1</v>
      </c>
      <c r="G305">
        <v>6100</v>
      </c>
      <c r="H305">
        <v>63.5</v>
      </c>
      <c r="I305">
        <v>24591</v>
      </c>
      <c r="J305">
        <v>62.38</v>
      </c>
      <c r="K305">
        <v>0.3</v>
      </c>
      <c r="L305">
        <v>14180</v>
      </c>
    </row>
    <row r="306" spans="1:12" x14ac:dyDescent="0.35">
      <c r="A306" t="str">
        <f t="shared" si="4"/>
        <v>B-481-B-337-TS</v>
      </c>
      <c r="B306" t="s">
        <v>106</v>
      </c>
      <c r="C306" t="s">
        <v>21</v>
      </c>
      <c r="D306" t="s">
        <v>20</v>
      </c>
      <c r="E306">
        <v>0.56200000000000006</v>
      </c>
      <c r="F306">
        <v>97262.5</v>
      </c>
      <c r="G306">
        <v>9479</v>
      </c>
      <c r="H306">
        <v>29.19</v>
      </c>
      <c r="I306">
        <v>21382</v>
      </c>
      <c r="J306">
        <v>21.98</v>
      </c>
      <c r="K306">
        <v>0.16</v>
      </c>
      <c r="L306">
        <v>49335</v>
      </c>
    </row>
    <row r="307" spans="1:12" x14ac:dyDescent="0.35">
      <c r="A307" t="str">
        <f t="shared" si="4"/>
        <v>B-481-B-337-TI</v>
      </c>
      <c r="B307" t="s">
        <v>106</v>
      </c>
      <c r="C307" t="s">
        <v>21</v>
      </c>
      <c r="D307" t="s">
        <v>18</v>
      </c>
      <c r="E307">
        <v>0.47299999999999998</v>
      </c>
      <c r="F307">
        <v>158478.9</v>
      </c>
      <c r="G307">
        <v>15297</v>
      </c>
      <c r="H307">
        <v>38.200000000000003</v>
      </c>
      <c r="I307">
        <v>38215</v>
      </c>
      <c r="J307">
        <v>24.11</v>
      </c>
      <c r="K307">
        <v>0.18</v>
      </c>
      <c r="L307">
        <v>67661</v>
      </c>
    </row>
    <row r="308" spans="1:12" x14ac:dyDescent="0.35">
      <c r="A308" t="str">
        <f t="shared" si="4"/>
        <v>B-481-B-337-GRUPO_ARENAS</v>
      </c>
      <c r="B308" t="s">
        <v>106</v>
      </c>
      <c r="C308" t="s">
        <v>21</v>
      </c>
      <c r="D308" t="s">
        <v>37</v>
      </c>
      <c r="E308">
        <v>0.46300000000000002</v>
      </c>
      <c r="F308">
        <v>161834</v>
      </c>
      <c r="G308">
        <v>15579</v>
      </c>
      <c r="H308">
        <v>39.5</v>
      </c>
      <c r="I308">
        <v>39618</v>
      </c>
      <c r="J308">
        <v>24.48</v>
      </c>
      <c r="K308">
        <v>0.19</v>
      </c>
      <c r="L308">
        <v>67675</v>
      </c>
    </row>
    <row r="309" spans="1:12" x14ac:dyDescent="0.35">
      <c r="A309" t="str">
        <f t="shared" si="4"/>
        <v>B-486-B-379-VIOLETA</v>
      </c>
      <c r="B309" t="s">
        <v>108</v>
      </c>
      <c r="C309" t="s">
        <v>100</v>
      </c>
      <c r="D309" t="s">
        <v>26</v>
      </c>
      <c r="E309">
        <v>0.55700000000000005</v>
      </c>
      <c r="F309">
        <v>4889.8</v>
      </c>
      <c r="G309">
        <v>179</v>
      </c>
      <c r="H309">
        <v>18.510000000000002</v>
      </c>
      <c r="I309">
        <v>395</v>
      </c>
      <c r="J309">
        <v>8.07</v>
      </c>
      <c r="K309">
        <v>7.0000000000000007E-2</v>
      </c>
      <c r="L309">
        <v>2340</v>
      </c>
    </row>
    <row r="310" spans="1:12" x14ac:dyDescent="0.35">
      <c r="A310" t="str">
        <f t="shared" si="4"/>
        <v>B-486-B-379-ROJO</v>
      </c>
      <c r="B310" t="s">
        <v>108</v>
      </c>
      <c r="C310" t="s">
        <v>100</v>
      </c>
      <c r="D310" t="s">
        <v>27</v>
      </c>
      <c r="E310">
        <v>0.57499999999999996</v>
      </c>
      <c r="F310">
        <v>7179.1</v>
      </c>
      <c r="G310">
        <v>157</v>
      </c>
      <c r="H310">
        <v>7.96</v>
      </c>
      <c r="I310">
        <v>348</v>
      </c>
      <c r="J310">
        <v>4.84</v>
      </c>
      <c r="K310">
        <v>0.04</v>
      </c>
      <c r="L310">
        <v>3540</v>
      </c>
    </row>
    <row r="311" spans="1:12" x14ac:dyDescent="0.35">
      <c r="A311" t="str">
        <f t="shared" si="4"/>
        <v>B-486-B-379-AZUL</v>
      </c>
      <c r="B311" t="s">
        <v>108</v>
      </c>
      <c r="C311" t="s">
        <v>100</v>
      </c>
      <c r="D311" t="s">
        <v>28</v>
      </c>
      <c r="E311">
        <v>0.5</v>
      </c>
      <c r="F311">
        <v>373876.4</v>
      </c>
      <c r="G311">
        <v>31932</v>
      </c>
      <c r="H311">
        <v>43.26</v>
      </c>
      <c r="I311">
        <v>75819</v>
      </c>
      <c r="J311">
        <v>20.28</v>
      </c>
      <c r="K311">
        <v>0.17</v>
      </c>
      <c r="L311">
        <v>160622</v>
      </c>
    </row>
    <row r="312" spans="1:12" x14ac:dyDescent="0.35">
      <c r="A312" t="str">
        <f t="shared" si="4"/>
        <v>B-486-B-379-VERDE</v>
      </c>
      <c r="B312" t="s">
        <v>108</v>
      </c>
      <c r="C312" t="s">
        <v>100</v>
      </c>
      <c r="D312" t="s">
        <v>29</v>
      </c>
      <c r="E312">
        <v>0.314</v>
      </c>
      <c r="F312">
        <v>8015.8</v>
      </c>
      <c r="G312">
        <v>1966</v>
      </c>
      <c r="H312">
        <v>89.28</v>
      </c>
      <c r="I312">
        <v>22742</v>
      </c>
      <c r="J312">
        <v>283.70999999999998</v>
      </c>
      <c r="K312">
        <v>0.48</v>
      </c>
      <c r="L312">
        <v>2163</v>
      </c>
    </row>
    <row r="313" spans="1:12" x14ac:dyDescent="0.35">
      <c r="A313" t="str">
        <f t="shared" si="4"/>
        <v>B-486-B-379-TI</v>
      </c>
      <c r="B313" t="s">
        <v>108</v>
      </c>
      <c r="C313" t="s">
        <v>100</v>
      </c>
      <c r="D313" t="s">
        <v>18</v>
      </c>
      <c r="E313">
        <v>0.433</v>
      </c>
      <c r="F313">
        <v>8191.7</v>
      </c>
      <c r="G313">
        <v>1089</v>
      </c>
      <c r="H313">
        <v>52.62</v>
      </c>
      <c r="I313">
        <v>3503</v>
      </c>
      <c r="J313">
        <v>42.76</v>
      </c>
      <c r="K313">
        <v>0.25</v>
      </c>
      <c r="L313">
        <v>3199</v>
      </c>
    </row>
    <row r="314" spans="1:12" x14ac:dyDescent="0.35">
      <c r="A314" t="str">
        <f t="shared" si="4"/>
        <v>B-486-B-388-VIOLETA</v>
      </c>
      <c r="B314" t="s">
        <v>108</v>
      </c>
      <c r="C314" t="s">
        <v>101</v>
      </c>
      <c r="D314" t="s">
        <v>26</v>
      </c>
      <c r="E314">
        <v>0.53700000000000003</v>
      </c>
      <c r="F314">
        <v>6078.9</v>
      </c>
      <c r="G314">
        <v>329</v>
      </c>
      <c r="H314">
        <v>27.38</v>
      </c>
      <c r="I314">
        <v>726</v>
      </c>
      <c r="J314">
        <v>11.95</v>
      </c>
      <c r="K314">
        <v>0.1</v>
      </c>
      <c r="L314">
        <v>2802</v>
      </c>
    </row>
    <row r="315" spans="1:12" x14ac:dyDescent="0.35">
      <c r="A315" t="str">
        <f t="shared" si="4"/>
        <v>B-486-B-388-ROJO</v>
      </c>
      <c r="B315" t="s">
        <v>108</v>
      </c>
      <c r="C315" t="s">
        <v>101</v>
      </c>
      <c r="D315" t="s">
        <v>27</v>
      </c>
      <c r="E315">
        <v>0.58599999999999997</v>
      </c>
      <c r="F315">
        <v>12341.5</v>
      </c>
      <c r="G315">
        <v>152</v>
      </c>
      <c r="H315">
        <v>4.47</v>
      </c>
      <c r="I315">
        <v>336</v>
      </c>
      <c r="J315">
        <v>2.72</v>
      </c>
      <c r="K315">
        <v>0.02</v>
      </c>
      <c r="L315">
        <v>6205</v>
      </c>
    </row>
    <row r="316" spans="1:12" x14ac:dyDescent="0.35">
      <c r="A316" t="str">
        <f t="shared" si="4"/>
        <v>B-486-B-388-AZUL</v>
      </c>
      <c r="B316" t="s">
        <v>108</v>
      </c>
      <c r="C316" t="s">
        <v>101</v>
      </c>
      <c r="D316" t="s">
        <v>28</v>
      </c>
      <c r="E316">
        <v>0.52500000000000002</v>
      </c>
      <c r="F316">
        <v>1134869.3</v>
      </c>
      <c r="G316">
        <v>72616</v>
      </c>
      <c r="H316">
        <v>32.409999999999997</v>
      </c>
      <c r="I316">
        <v>161909</v>
      </c>
      <c r="J316">
        <v>14.27</v>
      </c>
      <c r="K316">
        <v>0.12</v>
      </c>
      <c r="L316">
        <v>511866</v>
      </c>
    </row>
    <row r="317" spans="1:12" x14ac:dyDescent="0.35">
      <c r="A317" t="str">
        <f t="shared" si="4"/>
        <v>B-486-B-388-VERDE</v>
      </c>
      <c r="B317" t="s">
        <v>108</v>
      </c>
      <c r="C317" t="s">
        <v>101</v>
      </c>
      <c r="D317" t="s">
        <v>29</v>
      </c>
      <c r="E317">
        <v>0.55400000000000005</v>
      </c>
      <c r="F317">
        <v>15422.3</v>
      </c>
      <c r="G317">
        <v>610</v>
      </c>
      <c r="H317">
        <v>14.41</v>
      </c>
      <c r="I317">
        <v>1349</v>
      </c>
      <c r="J317">
        <v>8.75</v>
      </c>
      <c r="K317">
        <v>0.08</v>
      </c>
      <c r="L317">
        <v>7333</v>
      </c>
    </row>
    <row r="318" spans="1:12" x14ac:dyDescent="0.35">
      <c r="A318" t="str">
        <f t="shared" si="4"/>
        <v>B-486-B-388-TI</v>
      </c>
      <c r="B318" t="s">
        <v>108</v>
      </c>
      <c r="C318" t="s">
        <v>101</v>
      </c>
      <c r="D318" t="s">
        <v>18</v>
      </c>
      <c r="E318">
        <v>0.501</v>
      </c>
      <c r="F318">
        <v>24960.799999999999</v>
      </c>
      <c r="G318">
        <v>1770</v>
      </c>
      <c r="H318">
        <v>28.06</v>
      </c>
      <c r="I318">
        <v>3951</v>
      </c>
      <c r="J318">
        <v>15.83</v>
      </c>
      <c r="K318">
        <v>0.14000000000000001</v>
      </c>
      <c r="L318">
        <v>11296</v>
      </c>
    </row>
    <row r="319" spans="1:12" x14ac:dyDescent="0.35">
      <c r="A319" t="str">
        <f t="shared" si="4"/>
        <v>B-486-B-388-GRUPO_ARENAS</v>
      </c>
      <c r="B319" t="s">
        <v>108</v>
      </c>
      <c r="C319" t="s">
        <v>101</v>
      </c>
      <c r="D319" t="s">
        <v>37</v>
      </c>
      <c r="E319">
        <v>0.44800000000000001</v>
      </c>
      <c r="F319">
        <v>8835.7999999999993</v>
      </c>
      <c r="G319">
        <v>972</v>
      </c>
      <c r="H319">
        <v>45.14</v>
      </c>
      <c r="I319">
        <v>2698</v>
      </c>
      <c r="J319">
        <v>30.53</v>
      </c>
      <c r="K319">
        <v>0.21</v>
      </c>
      <c r="L319">
        <v>3574</v>
      </c>
    </row>
    <row r="320" spans="1:12" x14ac:dyDescent="0.35">
      <c r="A320" t="str">
        <f t="shared" si="4"/>
        <v>B-486-B-393-TS</v>
      </c>
      <c r="B320" t="s">
        <v>108</v>
      </c>
      <c r="C320" t="s">
        <v>80</v>
      </c>
      <c r="D320" t="s">
        <v>20</v>
      </c>
      <c r="E320">
        <v>0.54900000000000004</v>
      </c>
      <c r="F320">
        <v>144405.9</v>
      </c>
      <c r="G320">
        <v>15774</v>
      </c>
      <c r="H320">
        <v>32.71</v>
      </c>
      <c r="I320">
        <v>36883</v>
      </c>
      <c r="J320">
        <v>25.54</v>
      </c>
      <c r="K320">
        <v>0.18</v>
      </c>
      <c r="L320">
        <v>71547</v>
      </c>
    </row>
    <row r="321" spans="1:12" x14ac:dyDescent="0.35">
      <c r="A321" t="str">
        <f t="shared" si="4"/>
        <v>B-486-B-393-TI</v>
      </c>
      <c r="B321" t="s">
        <v>108</v>
      </c>
      <c r="C321" t="s">
        <v>80</v>
      </c>
      <c r="D321" t="s">
        <v>18</v>
      </c>
      <c r="E321">
        <v>0.35399999999999998</v>
      </c>
      <c r="F321">
        <v>40752</v>
      </c>
      <c r="G321">
        <v>8329</v>
      </c>
      <c r="H321">
        <v>80.87</v>
      </c>
      <c r="I321">
        <v>50099</v>
      </c>
      <c r="J321">
        <v>122.94</v>
      </c>
      <c r="K321">
        <v>0.39</v>
      </c>
      <c r="L321">
        <v>13004</v>
      </c>
    </row>
    <row r="322" spans="1:12" x14ac:dyDescent="0.35">
      <c r="A322" t="str">
        <f t="shared" si="4"/>
        <v>B-486-B-406-AZUL</v>
      </c>
      <c r="B322" t="s">
        <v>108</v>
      </c>
      <c r="C322" t="s">
        <v>102</v>
      </c>
      <c r="D322" t="s">
        <v>28</v>
      </c>
      <c r="E322">
        <v>0.53200000000000003</v>
      </c>
      <c r="F322">
        <v>296185</v>
      </c>
      <c r="G322">
        <v>17273</v>
      </c>
      <c r="H322">
        <v>29.54</v>
      </c>
      <c r="I322">
        <v>38279</v>
      </c>
      <c r="J322">
        <v>12.92</v>
      </c>
      <c r="K322">
        <v>0.11</v>
      </c>
      <c r="L322">
        <v>135268</v>
      </c>
    </row>
    <row r="323" spans="1:12" x14ac:dyDescent="0.35">
      <c r="A323" t="str">
        <f t="shared" ref="A323:A354" si="5">CONCATENATE(B323,"-",C323,"-",D323)</f>
        <v>B-486-B-406-VERDE</v>
      </c>
      <c r="B323" t="s">
        <v>108</v>
      </c>
      <c r="C323" t="s">
        <v>102</v>
      </c>
      <c r="D323" t="s">
        <v>29</v>
      </c>
      <c r="E323">
        <v>0.55100000000000005</v>
      </c>
      <c r="F323">
        <v>1388830.2</v>
      </c>
      <c r="G323">
        <v>58005</v>
      </c>
      <c r="H323">
        <v>15.21</v>
      </c>
      <c r="I323">
        <v>128226</v>
      </c>
      <c r="J323">
        <v>9.23</v>
      </c>
      <c r="K323">
        <v>0.08</v>
      </c>
      <c r="L323">
        <v>657273</v>
      </c>
    </row>
    <row r="324" spans="1:12" x14ac:dyDescent="0.35">
      <c r="A324" t="str">
        <f t="shared" si="5"/>
        <v>B-486-B-406-TS</v>
      </c>
      <c r="B324" t="s">
        <v>108</v>
      </c>
      <c r="C324" t="s">
        <v>102</v>
      </c>
      <c r="D324" t="s">
        <v>20</v>
      </c>
      <c r="E324">
        <v>0.47499999999999998</v>
      </c>
      <c r="F324">
        <v>33686.400000000001</v>
      </c>
      <c r="G324">
        <v>5923</v>
      </c>
      <c r="H324">
        <v>52.66</v>
      </c>
      <c r="I324">
        <v>19060</v>
      </c>
      <c r="J324">
        <v>56.58</v>
      </c>
      <c r="K324">
        <v>0.28999999999999998</v>
      </c>
      <c r="L324">
        <v>14447</v>
      </c>
    </row>
    <row r="325" spans="1:12" x14ac:dyDescent="0.35">
      <c r="A325" t="str">
        <f t="shared" si="5"/>
        <v>B-486-B-406-TI</v>
      </c>
      <c r="B325" t="s">
        <v>108</v>
      </c>
      <c r="C325" t="s">
        <v>102</v>
      </c>
      <c r="D325" t="s">
        <v>18</v>
      </c>
      <c r="E325">
        <v>0.46700000000000003</v>
      </c>
      <c r="F325">
        <v>37577.800000000003</v>
      </c>
      <c r="G325">
        <v>3822</v>
      </c>
      <c r="H325">
        <v>40.25</v>
      </c>
      <c r="I325">
        <v>9823</v>
      </c>
      <c r="J325">
        <v>26.14</v>
      </c>
      <c r="K325">
        <v>0.19</v>
      </c>
      <c r="L325">
        <v>15849</v>
      </c>
    </row>
    <row r="326" spans="1:12" x14ac:dyDescent="0.35">
      <c r="A326" t="str">
        <f t="shared" si="5"/>
        <v>B-486-B-458-TI</v>
      </c>
      <c r="B326" t="s">
        <v>108</v>
      </c>
      <c r="C326" t="s">
        <v>89</v>
      </c>
      <c r="D326" t="s">
        <v>18</v>
      </c>
      <c r="E326">
        <v>0.47699999999999998</v>
      </c>
      <c r="F326">
        <v>44710.2</v>
      </c>
      <c r="G326">
        <v>4157</v>
      </c>
      <c r="H326">
        <v>36.79</v>
      </c>
      <c r="I326">
        <v>10197</v>
      </c>
      <c r="J326">
        <v>22.81</v>
      </c>
      <c r="K326">
        <v>0.18</v>
      </c>
      <c r="L326">
        <v>19247</v>
      </c>
    </row>
    <row r="327" spans="1:12" x14ac:dyDescent="0.35">
      <c r="A327" t="str">
        <f t="shared" si="5"/>
        <v>B-486-B-465-TS</v>
      </c>
      <c r="B327" t="s">
        <v>108</v>
      </c>
      <c r="C327" t="s">
        <v>109</v>
      </c>
      <c r="D327" t="s">
        <v>20</v>
      </c>
      <c r="E327">
        <v>0.56200000000000006</v>
      </c>
      <c r="F327">
        <v>130940.6</v>
      </c>
      <c r="G327">
        <v>12769</v>
      </c>
      <c r="H327">
        <v>29.2</v>
      </c>
      <c r="I327">
        <v>28807</v>
      </c>
      <c r="J327">
        <v>22</v>
      </c>
      <c r="K327">
        <v>0.16</v>
      </c>
      <c r="L327">
        <v>66410</v>
      </c>
    </row>
    <row r="328" spans="1:12" x14ac:dyDescent="0.35">
      <c r="A328" t="str">
        <f t="shared" si="5"/>
        <v>B-486-B-465-TI</v>
      </c>
      <c r="B328" t="s">
        <v>108</v>
      </c>
      <c r="C328" t="s">
        <v>109</v>
      </c>
      <c r="D328" t="s">
        <v>18</v>
      </c>
      <c r="E328">
        <v>0.46600000000000003</v>
      </c>
      <c r="F328">
        <v>47801</v>
      </c>
      <c r="G328">
        <v>4926</v>
      </c>
      <c r="H328">
        <v>40.78</v>
      </c>
      <c r="I328">
        <v>12757</v>
      </c>
      <c r="J328">
        <v>26.69</v>
      </c>
      <c r="K328">
        <v>0.2</v>
      </c>
      <c r="L328">
        <v>20096</v>
      </c>
    </row>
    <row r="329" spans="1:12" x14ac:dyDescent="0.35">
      <c r="A329" t="str">
        <f t="shared" si="5"/>
        <v>B-486-B-493-TS</v>
      </c>
      <c r="B329" t="s">
        <v>108</v>
      </c>
      <c r="C329" t="s">
        <v>110</v>
      </c>
      <c r="D329" t="s">
        <v>20</v>
      </c>
      <c r="E329">
        <v>0.51500000000000001</v>
      </c>
      <c r="F329">
        <v>148361</v>
      </c>
      <c r="G329">
        <v>20776</v>
      </c>
      <c r="H329">
        <v>41.93</v>
      </c>
      <c r="I329">
        <v>54744</v>
      </c>
      <c r="J329">
        <v>36.9</v>
      </c>
      <c r="K329">
        <v>0.23</v>
      </c>
      <c r="L329">
        <v>68937</v>
      </c>
    </row>
    <row r="330" spans="1:12" x14ac:dyDescent="0.35">
      <c r="A330" t="str">
        <f t="shared" si="5"/>
        <v>B-486-B-500-VIOLETA</v>
      </c>
      <c r="B330" t="s">
        <v>108</v>
      </c>
      <c r="C330" t="s">
        <v>90</v>
      </c>
      <c r="D330" t="s">
        <v>26</v>
      </c>
      <c r="E330">
        <v>0.56000000000000005</v>
      </c>
      <c r="F330">
        <v>10097.799999999999</v>
      </c>
      <c r="G330">
        <v>349</v>
      </c>
      <c r="H330">
        <v>17.510000000000002</v>
      </c>
      <c r="I330">
        <v>771</v>
      </c>
      <c r="J330">
        <v>7.64</v>
      </c>
      <c r="K330">
        <v>7.0000000000000007E-2</v>
      </c>
      <c r="L330">
        <v>4852</v>
      </c>
    </row>
    <row r="331" spans="1:12" x14ac:dyDescent="0.35">
      <c r="A331" t="str">
        <f t="shared" si="5"/>
        <v>B-486-B-500-ROJO</v>
      </c>
      <c r="B331" t="s">
        <v>108</v>
      </c>
      <c r="C331" t="s">
        <v>90</v>
      </c>
      <c r="D331" t="s">
        <v>27</v>
      </c>
      <c r="E331">
        <v>0.53400000000000003</v>
      </c>
      <c r="F331">
        <v>15775.9</v>
      </c>
      <c r="G331">
        <v>899</v>
      </c>
      <c r="H331">
        <v>20.76</v>
      </c>
      <c r="I331">
        <v>1985</v>
      </c>
      <c r="J331">
        <v>12.58</v>
      </c>
      <c r="K331">
        <v>0.11</v>
      </c>
      <c r="L331">
        <v>7225</v>
      </c>
    </row>
    <row r="332" spans="1:12" x14ac:dyDescent="0.35">
      <c r="A332" t="str">
        <f t="shared" si="5"/>
        <v>B-486-B-500-AZUL</v>
      </c>
      <c r="B332" t="s">
        <v>108</v>
      </c>
      <c r="C332" t="s">
        <v>90</v>
      </c>
      <c r="D332" t="s">
        <v>28</v>
      </c>
      <c r="E332">
        <v>0.51700000000000002</v>
      </c>
      <c r="F332">
        <v>976171.6</v>
      </c>
      <c r="G332">
        <v>69525</v>
      </c>
      <c r="H332">
        <v>36.08</v>
      </c>
      <c r="I332">
        <v>157058</v>
      </c>
      <c r="J332">
        <v>16.09</v>
      </c>
      <c r="K332">
        <v>0.14000000000000001</v>
      </c>
      <c r="L332">
        <v>433224</v>
      </c>
    </row>
    <row r="333" spans="1:12" x14ac:dyDescent="0.35">
      <c r="A333" t="str">
        <f t="shared" si="5"/>
        <v>B-486-B-500-VERDE</v>
      </c>
      <c r="B333" t="s">
        <v>108</v>
      </c>
      <c r="C333" t="s">
        <v>90</v>
      </c>
      <c r="D333" t="s">
        <v>29</v>
      </c>
      <c r="E333">
        <v>0.41299999999999998</v>
      </c>
      <c r="F333">
        <v>25706.1</v>
      </c>
      <c r="G333">
        <v>4128</v>
      </c>
      <c r="H333">
        <v>58.47</v>
      </c>
      <c r="I333">
        <v>12584</v>
      </c>
      <c r="J333">
        <v>48.95</v>
      </c>
      <c r="K333">
        <v>0.31</v>
      </c>
      <c r="L333">
        <v>9111</v>
      </c>
    </row>
    <row r="334" spans="1:12" x14ac:dyDescent="0.35">
      <c r="A334" t="str">
        <f t="shared" si="5"/>
        <v>B-486-B-500-TI</v>
      </c>
      <c r="B334" t="s">
        <v>108</v>
      </c>
      <c r="C334" t="s">
        <v>90</v>
      </c>
      <c r="D334" t="s">
        <v>18</v>
      </c>
      <c r="E334">
        <v>0.49199999999999999</v>
      </c>
      <c r="F334">
        <v>40497.4</v>
      </c>
      <c r="G334">
        <v>3209</v>
      </c>
      <c r="H334">
        <v>31.36</v>
      </c>
      <c r="I334">
        <v>7397</v>
      </c>
      <c r="J334">
        <v>18.27</v>
      </c>
      <c r="K334">
        <v>0.15</v>
      </c>
      <c r="L334">
        <v>17990</v>
      </c>
    </row>
    <row r="335" spans="1:12" x14ac:dyDescent="0.35">
      <c r="A335" t="str">
        <f t="shared" si="5"/>
        <v>B-486-B-500-GRUPO_ARENAS</v>
      </c>
      <c r="B335" t="s">
        <v>108</v>
      </c>
      <c r="C335" t="s">
        <v>90</v>
      </c>
      <c r="D335" t="s">
        <v>37</v>
      </c>
      <c r="E335">
        <v>0.41</v>
      </c>
      <c r="F335">
        <v>27111</v>
      </c>
      <c r="G335">
        <v>3915</v>
      </c>
      <c r="H335">
        <v>59.26</v>
      </c>
      <c r="I335">
        <v>14500</v>
      </c>
      <c r="J335">
        <v>53.48</v>
      </c>
      <c r="K335">
        <v>0.28000000000000003</v>
      </c>
      <c r="L335">
        <v>10032</v>
      </c>
    </row>
    <row r="336" spans="1:12" x14ac:dyDescent="0.35">
      <c r="A336" t="str">
        <f t="shared" si="5"/>
        <v>B-490-B-17-TS</v>
      </c>
      <c r="B336" t="s">
        <v>111</v>
      </c>
      <c r="C336" t="s">
        <v>17</v>
      </c>
      <c r="D336" t="s">
        <v>20</v>
      </c>
      <c r="E336">
        <v>0.42</v>
      </c>
      <c r="F336">
        <v>65050.8</v>
      </c>
      <c r="G336">
        <v>14696</v>
      </c>
      <c r="H336">
        <v>67.650000000000006</v>
      </c>
      <c r="I336">
        <v>64347</v>
      </c>
      <c r="J336">
        <v>98.92</v>
      </c>
      <c r="K336">
        <v>0.37</v>
      </c>
      <c r="L336">
        <v>24639</v>
      </c>
    </row>
    <row r="337" spans="1:12" x14ac:dyDescent="0.35">
      <c r="A337" t="str">
        <f t="shared" si="5"/>
        <v>B-490-B-17-TI</v>
      </c>
      <c r="B337" t="s">
        <v>111</v>
      </c>
      <c r="C337" t="s">
        <v>17</v>
      </c>
      <c r="D337" t="s">
        <v>18</v>
      </c>
      <c r="E337">
        <v>0.45100000000000001</v>
      </c>
      <c r="F337">
        <v>25978.799999999999</v>
      </c>
      <c r="G337">
        <v>3027</v>
      </c>
      <c r="H337">
        <v>46.11</v>
      </c>
      <c r="I337">
        <v>8548</v>
      </c>
      <c r="J337">
        <v>32.9</v>
      </c>
      <c r="K337">
        <v>0.22</v>
      </c>
      <c r="L337">
        <v>10572</v>
      </c>
    </row>
    <row r="338" spans="1:12" x14ac:dyDescent="0.35">
      <c r="A338" t="str">
        <f t="shared" si="5"/>
        <v>B-490-B-17-GRUPO_ARENAS</v>
      </c>
      <c r="B338" t="s">
        <v>111</v>
      </c>
      <c r="C338" t="s">
        <v>17</v>
      </c>
      <c r="D338" t="s">
        <v>37</v>
      </c>
      <c r="E338">
        <v>0.41399999999999998</v>
      </c>
      <c r="F338">
        <v>54211.3</v>
      </c>
      <c r="G338">
        <v>7619</v>
      </c>
      <c r="H338">
        <v>57.68</v>
      </c>
      <c r="I338">
        <v>27318</v>
      </c>
      <c r="J338">
        <v>50.39</v>
      </c>
      <c r="K338">
        <v>0.27</v>
      </c>
      <c r="L338">
        <v>20269</v>
      </c>
    </row>
    <row r="339" spans="1:12" x14ac:dyDescent="0.35">
      <c r="A339" t="str">
        <f t="shared" si="5"/>
        <v>B-490-B-19-VIOLETA</v>
      </c>
      <c r="B339" t="s">
        <v>111</v>
      </c>
      <c r="C339" t="s">
        <v>63</v>
      </c>
      <c r="D339" t="s">
        <v>26</v>
      </c>
      <c r="E339">
        <v>0.56799999999999995</v>
      </c>
      <c r="F339">
        <v>3125</v>
      </c>
      <c r="G339">
        <v>85</v>
      </c>
      <c r="H339">
        <v>13.83</v>
      </c>
      <c r="I339">
        <v>189</v>
      </c>
      <c r="J339">
        <v>6.04</v>
      </c>
      <c r="K339">
        <v>0.05</v>
      </c>
      <c r="L339">
        <v>1524</v>
      </c>
    </row>
    <row r="340" spans="1:12" x14ac:dyDescent="0.35">
      <c r="A340" t="str">
        <f t="shared" si="5"/>
        <v>B-490-B-19-ROJO</v>
      </c>
      <c r="B340" t="s">
        <v>111</v>
      </c>
      <c r="C340" t="s">
        <v>63</v>
      </c>
      <c r="D340" t="s">
        <v>27</v>
      </c>
      <c r="E340">
        <v>0.57299999999999995</v>
      </c>
      <c r="F340">
        <v>4153.8</v>
      </c>
      <c r="G340">
        <v>97</v>
      </c>
      <c r="H340">
        <v>8.52</v>
      </c>
      <c r="I340">
        <v>215</v>
      </c>
      <c r="J340">
        <v>5.18</v>
      </c>
      <c r="K340">
        <v>0.05</v>
      </c>
      <c r="L340">
        <v>2042</v>
      </c>
    </row>
    <row r="341" spans="1:12" x14ac:dyDescent="0.35">
      <c r="A341" t="str">
        <f t="shared" si="5"/>
        <v>B-490-B-19-AZUL</v>
      </c>
      <c r="B341" t="s">
        <v>111</v>
      </c>
      <c r="C341" t="s">
        <v>63</v>
      </c>
      <c r="D341" t="s">
        <v>28</v>
      </c>
      <c r="E341">
        <v>0.59299999999999997</v>
      </c>
      <c r="F341">
        <v>3470.5</v>
      </c>
      <c r="G341">
        <v>22</v>
      </c>
      <c r="H341">
        <v>3.18</v>
      </c>
      <c r="I341">
        <v>48</v>
      </c>
      <c r="J341">
        <v>1.39</v>
      </c>
      <c r="K341">
        <v>0.01</v>
      </c>
      <c r="L341">
        <v>1766</v>
      </c>
    </row>
    <row r="342" spans="1:12" x14ac:dyDescent="0.35">
      <c r="A342" t="str">
        <f t="shared" si="5"/>
        <v>B-490-B-19-VERDE</v>
      </c>
      <c r="B342" t="s">
        <v>111</v>
      </c>
      <c r="C342" t="s">
        <v>63</v>
      </c>
      <c r="D342" t="s">
        <v>29</v>
      </c>
      <c r="E342">
        <v>0.59199999999999997</v>
      </c>
      <c r="F342">
        <v>8749.6</v>
      </c>
      <c r="G342">
        <v>57</v>
      </c>
      <c r="H342">
        <v>2.38</v>
      </c>
      <c r="I342">
        <v>127</v>
      </c>
      <c r="J342">
        <v>1.45</v>
      </c>
      <c r="K342">
        <v>0.01</v>
      </c>
      <c r="L342">
        <v>4449</v>
      </c>
    </row>
    <row r="343" spans="1:12" x14ac:dyDescent="0.35">
      <c r="A343" t="str">
        <f t="shared" si="5"/>
        <v>B-490-B-19-GRUPO_ARENAS</v>
      </c>
      <c r="B343" t="s">
        <v>111</v>
      </c>
      <c r="C343" t="s">
        <v>63</v>
      </c>
      <c r="D343" t="s">
        <v>37</v>
      </c>
      <c r="E343">
        <v>0.433</v>
      </c>
      <c r="F343">
        <v>86651.7</v>
      </c>
      <c r="G343">
        <v>10715</v>
      </c>
      <c r="H343">
        <v>50.74</v>
      </c>
      <c r="I343">
        <v>33102</v>
      </c>
      <c r="J343">
        <v>38.200000000000003</v>
      </c>
      <c r="K343">
        <v>0.24</v>
      </c>
      <c r="L343">
        <v>33862</v>
      </c>
    </row>
    <row r="344" spans="1:12" x14ac:dyDescent="0.35">
      <c r="A344" t="str">
        <f t="shared" si="5"/>
        <v>B-490-B-333-TI</v>
      </c>
      <c r="B344" t="s">
        <v>111</v>
      </c>
      <c r="C344" t="s">
        <v>64</v>
      </c>
      <c r="D344" t="s">
        <v>18</v>
      </c>
      <c r="E344">
        <v>0.48299999999999998</v>
      </c>
      <c r="F344">
        <v>38742.199999999997</v>
      </c>
      <c r="G344">
        <v>3398</v>
      </c>
      <c r="H344">
        <v>34.71</v>
      </c>
      <c r="I344">
        <v>8126</v>
      </c>
      <c r="J344">
        <v>20.98</v>
      </c>
      <c r="K344">
        <v>0.17</v>
      </c>
      <c r="L344">
        <v>16882</v>
      </c>
    </row>
    <row r="345" spans="1:12" x14ac:dyDescent="0.35">
      <c r="A345" t="str">
        <f t="shared" si="5"/>
        <v>B-490-B-333-GRUPO_ARENAS</v>
      </c>
      <c r="B345" t="s">
        <v>111</v>
      </c>
      <c r="C345" t="s">
        <v>64</v>
      </c>
      <c r="D345" t="s">
        <v>37</v>
      </c>
      <c r="E345">
        <v>0.39800000000000002</v>
      </c>
      <c r="F345">
        <v>80774.2</v>
      </c>
      <c r="G345">
        <v>12528</v>
      </c>
      <c r="H345">
        <v>63.65</v>
      </c>
      <c r="I345">
        <v>50655</v>
      </c>
      <c r="J345">
        <v>62.71</v>
      </c>
      <c r="K345">
        <v>0.3</v>
      </c>
      <c r="L345">
        <v>29026</v>
      </c>
    </row>
    <row r="346" spans="1:12" x14ac:dyDescent="0.35">
      <c r="A346" t="str">
        <f t="shared" si="5"/>
        <v>B-490-B-338-TS</v>
      </c>
      <c r="B346" t="s">
        <v>111</v>
      </c>
      <c r="C346" t="s">
        <v>22</v>
      </c>
      <c r="D346" t="s">
        <v>20</v>
      </c>
      <c r="E346">
        <v>0.42899999999999999</v>
      </c>
      <c r="F346">
        <v>44938.8</v>
      </c>
      <c r="G346">
        <v>9772</v>
      </c>
      <c r="H346">
        <v>65.12</v>
      </c>
      <c r="I346">
        <v>40678</v>
      </c>
      <c r="J346">
        <v>90.52</v>
      </c>
      <c r="K346">
        <v>0.36</v>
      </c>
      <c r="L346">
        <v>17402</v>
      </c>
    </row>
    <row r="347" spans="1:12" x14ac:dyDescent="0.35">
      <c r="A347" t="str">
        <f t="shared" si="5"/>
        <v>B-490-B-338-TI</v>
      </c>
      <c r="B347" t="s">
        <v>111</v>
      </c>
      <c r="C347" t="s">
        <v>22</v>
      </c>
      <c r="D347" t="s">
        <v>18</v>
      </c>
      <c r="E347">
        <v>0.45800000000000002</v>
      </c>
      <c r="F347">
        <v>68059.3</v>
      </c>
      <c r="G347">
        <v>7514</v>
      </c>
      <c r="H347">
        <v>43.69</v>
      </c>
      <c r="I347">
        <v>20355</v>
      </c>
      <c r="J347">
        <v>29.91</v>
      </c>
      <c r="K347">
        <v>0.21</v>
      </c>
      <c r="L347">
        <v>28113</v>
      </c>
    </row>
    <row r="348" spans="1:12" x14ac:dyDescent="0.35">
      <c r="A348" t="str">
        <f t="shared" si="5"/>
        <v>B-490-B-338-GRUPO_ARENAS</v>
      </c>
      <c r="B348" t="s">
        <v>111</v>
      </c>
      <c r="C348" t="s">
        <v>22</v>
      </c>
      <c r="D348" t="s">
        <v>37</v>
      </c>
      <c r="E348">
        <v>0.45500000000000002</v>
      </c>
      <c r="F348">
        <v>62056.6</v>
      </c>
      <c r="G348">
        <v>6447</v>
      </c>
      <c r="H348">
        <v>42.63</v>
      </c>
      <c r="I348">
        <v>17173</v>
      </c>
      <c r="J348">
        <v>27.67</v>
      </c>
      <c r="K348">
        <v>0.2</v>
      </c>
      <c r="L348">
        <v>25477</v>
      </c>
    </row>
    <row r="349" spans="1:12" x14ac:dyDescent="0.35">
      <c r="A349" t="str">
        <f t="shared" si="5"/>
        <v>B-490-B-392-TS</v>
      </c>
      <c r="B349" t="s">
        <v>111</v>
      </c>
      <c r="C349" t="s">
        <v>112</v>
      </c>
      <c r="D349" t="s">
        <v>20</v>
      </c>
      <c r="E349">
        <v>0.44900000000000001</v>
      </c>
      <c r="F349">
        <v>140566.70000000001</v>
      </c>
      <c r="G349">
        <v>28050</v>
      </c>
      <c r="H349">
        <v>59.76</v>
      </c>
      <c r="I349">
        <v>104941</v>
      </c>
      <c r="J349">
        <v>74.66</v>
      </c>
      <c r="K349">
        <v>0.33</v>
      </c>
      <c r="L349">
        <v>56950</v>
      </c>
    </row>
    <row r="350" spans="1:12" x14ac:dyDescent="0.35">
      <c r="A350" t="str">
        <f t="shared" si="5"/>
        <v>B-490-B-392-TI</v>
      </c>
      <c r="B350" t="s">
        <v>111</v>
      </c>
      <c r="C350" t="s">
        <v>112</v>
      </c>
      <c r="D350" t="s">
        <v>18</v>
      </c>
      <c r="E350">
        <v>0.51100000000000001</v>
      </c>
      <c r="F350">
        <v>34512.5</v>
      </c>
      <c r="G350">
        <v>2135</v>
      </c>
      <c r="H350">
        <v>24.48</v>
      </c>
      <c r="I350">
        <v>4624</v>
      </c>
      <c r="J350">
        <v>13.4</v>
      </c>
      <c r="K350">
        <v>0.12</v>
      </c>
      <c r="L350">
        <v>15931</v>
      </c>
    </row>
    <row r="351" spans="1:12" x14ac:dyDescent="0.35">
      <c r="A351" t="str">
        <f t="shared" si="5"/>
        <v>B-490-B-392-GRUPO_ARENAS</v>
      </c>
      <c r="B351" t="s">
        <v>111</v>
      </c>
      <c r="C351" t="s">
        <v>112</v>
      </c>
      <c r="D351" t="s">
        <v>37</v>
      </c>
      <c r="E351">
        <v>0.374</v>
      </c>
      <c r="F351">
        <v>41910.199999999997</v>
      </c>
      <c r="G351">
        <v>7427</v>
      </c>
      <c r="H351">
        <v>72.73</v>
      </c>
      <c r="I351">
        <v>36140</v>
      </c>
      <c r="J351">
        <v>86.23</v>
      </c>
      <c r="K351">
        <v>0.34</v>
      </c>
      <c r="L351">
        <v>14133</v>
      </c>
    </row>
    <row r="352" spans="1:12" x14ac:dyDescent="0.35">
      <c r="A352" t="str">
        <f t="shared" si="5"/>
        <v>B-490-B-407-TI</v>
      </c>
      <c r="B352" t="s">
        <v>111</v>
      </c>
      <c r="C352" t="s">
        <v>65</v>
      </c>
      <c r="D352" t="s">
        <v>18</v>
      </c>
      <c r="E352">
        <v>0.45700000000000002</v>
      </c>
      <c r="F352">
        <v>34249.800000000003</v>
      </c>
      <c r="G352">
        <v>3812</v>
      </c>
      <c r="H352">
        <v>44.05</v>
      </c>
      <c r="I352">
        <v>10389</v>
      </c>
      <c r="J352">
        <v>30.33</v>
      </c>
      <c r="K352">
        <v>0.21</v>
      </c>
      <c r="L352">
        <v>14116</v>
      </c>
    </row>
    <row r="353" spans="1:12" x14ac:dyDescent="0.35">
      <c r="A353" t="str">
        <f t="shared" si="5"/>
        <v>B-490-B-407-GRUPO_ARENAS</v>
      </c>
      <c r="B353" t="s">
        <v>111</v>
      </c>
      <c r="C353" t="s">
        <v>65</v>
      </c>
      <c r="D353" t="s">
        <v>37</v>
      </c>
      <c r="E353">
        <v>0.42599999999999999</v>
      </c>
      <c r="F353">
        <v>79499.399999999994</v>
      </c>
      <c r="G353">
        <v>10355</v>
      </c>
      <c r="H353">
        <v>53.45</v>
      </c>
      <c r="I353">
        <v>33901</v>
      </c>
      <c r="J353">
        <v>42.64</v>
      </c>
      <c r="K353">
        <v>0.25</v>
      </c>
      <c r="L353">
        <v>30543</v>
      </c>
    </row>
    <row r="354" spans="1:12" x14ac:dyDescent="0.35">
      <c r="A354" t="str">
        <f t="shared" si="5"/>
        <v>B-490-B-497-TS</v>
      </c>
      <c r="B354" t="s">
        <v>111</v>
      </c>
      <c r="C354" t="s">
        <v>57</v>
      </c>
      <c r="D354" t="s">
        <v>20</v>
      </c>
      <c r="E354">
        <v>0.442</v>
      </c>
      <c r="F354">
        <v>110854.8</v>
      </c>
      <c r="G354">
        <v>22767</v>
      </c>
      <c r="H354">
        <v>61.5</v>
      </c>
      <c r="I354">
        <v>88221</v>
      </c>
      <c r="J354">
        <v>79.58</v>
      </c>
      <c r="K354">
        <v>0.34</v>
      </c>
      <c r="L354">
        <v>44266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Unificada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Leiguarda</dc:creator>
  <cp:lastModifiedBy>Diego Leiguarda</cp:lastModifiedBy>
  <dcterms:created xsi:type="dcterms:W3CDTF">2026-03-06T16:36:18Z</dcterms:created>
  <dcterms:modified xsi:type="dcterms:W3CDTF">2026-03-06T16:36:35Z</dcterms:modified>
</cp:coreProperties>
</file>